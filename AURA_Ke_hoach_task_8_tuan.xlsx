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à soát" sheetId="1" state="visible" r:id="rId3"/>
    <sheet name="Task 8 tuần" sheetId="2" state="visible" r:id="rId4"/>
    <sheet name="Tổng giờ" sheetId="3" state="visible" r:id="rId5"/>
    <sheet name="Phủ FR-NFR" sheetId="4" state="visible" r:id="rId6"/>
    <sheet name="Jira Import" sheetId="5" state="visible" r:id="rId7"/>
    <sheet name="Lịch Sprint" sheetId="6" state="visible" r:id="rId8"/>
  </sheets>
  <definedNames>
    <definedName function="false" hidden="true" localSheetId="1" name="_xlnm._FilterDatabase" vbProcedure="false">'Task 8 tuần'!$A$1:$K$217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<sst xmlns="http://schemas.openxmlformats.org/spreadsheetml/2006/main" count="4364" uniqueCount="1377">
  <si>
    <t xml:space="preserve">RÀ SOÁT KẾ HOẠCH VÀ CÁC ĐIỀU CHỈNH</t>
  </si>
  <si>
    <t xml:space="preserve">Đã đối chiếu 216 task với 39 FR, 23 NFR và các yêu cầu bắt buộc (Confluence, GitHub, Jira, SOA, Microservice, Docker, NiFi, Firebase, API Gateway). Cột 'Áp dụng ở' trỏ tới task đã sửa trong sheet 'Task 8 tuần'.</t>
  </si>
  <si>
    <t xml:space="preserve">#</t>
  </si>
  <si>
    <t xml:space="preserve">Mức độ</t>
  </si>
  <si>
    <t xml:space="preserve">Vấn đề phát hiện</t>
  </si>
  <si>
    <t xml:space="preserve">Cách khắc phục</t>
  </si>
  <si>
    <t xml:space="preserve">Áp dụng ở (ID task)</t>
  </si>
  <si>
    <t xml:space="preserve">Cao</t>
  </si>
  <si>
    <t xml:space="preserve">HTTPS và tên miền để tới tuần 5. Nhưng FCM trên web (service worker) cần HTTPS từ tuần 4 và VNPay cần URL callback công khai từ tuần 5.</t>
  </si>
  <si>
    <t xml:space="preserve">Chuyển tên miền + Let's Encrypt sang tuần 2 trong task dựng VPS staging. Tuần 5 chỉ còn cứng hóa TLS (HSTS) và mã hóa PII.</t>
  </si>
  <si>
    <t xml:space="preserve">W2-M1-4, W5-M1-1</t>
  </si>
  <si>
    <t xml:space="preserve">Thiếu màn hình frontend cho nhiều FR: hồ sơ cá nhân (FR-8), đăng ký clinic (FR-22), thống kê bác sĩ (FR-21), giám sát và báo cáo clinic (FR-25,26,27,29), cấu hình AI (FR-33), xem audit (FR-37), biểu đồ xu hướng (FR-17), nút tải báo cáo (FR-7), form feedback AI (FR-19). API có nhưng người dùng không thao tác được.</t>
  </si>
  <si>
    <t xml:space="preserve">Thêm task UI cụ thể cho từng màn hình ở tuần 2, 4, 5, 6.</t>
  </si>
  <si>
    <t xml:space="preserve">W2-M5-5, W4-M5-3..5, W5-M5-2..5, W6-M5-2..3</t>
  </si>
  <si>
    <t xml:space="preserve">M5 là người duy nhất làm frontend cho 4 cổng (Patient, Doctor, Clinic, Admin), quá tải ở tuần 5–6 và là nút thắt.</t>
  </si>
  <si>
    <t xml:space="preserve">Áp dụng 'sở hữu dọc': người làm API cũng làm UI đơn giản (form, bảng) của chính nó. M1 làm UI quản lý tài khoản, M2 làm UI thống kê bác sĩ, M3 làm UI chat và form gói/template. M5 giữ màn phức tạp, design system, responsive.</t>
  </si>
  <si>
    <t xml:space="preserve">W5-M3-4, W6-M1-1, W6-M2-1, W6-M3-5</t>
  </si>
  <si>
    <t xml:space="preserve">Dataset công khai (APTOS, DRIVE...) không có nhãn tăng huyết áp, biến chứng tiểu đường hay đột quỵ. Nếu trình bày điểm nguy cơ như kết quả lâm sàng thì sai về mặt khoa học và sẽ bị hội đồng hỏi vặn.</t>
  </si>
  <si>
    <t xml:space="preserve">Risk score là heuristic dựa trên chỉ số mạch và quy tắc cấu hình được. Ghi rõ 'không phải chẩn đoán' trên giao diện, báo cáo PDF và Model card. Đề tài đã định vị AURA là hỗ trợ bác sĩ.</t>
  </si>
  <si>
    <t xml:space="preserve">W1-M4-6, W3-M4-2, W6-M4-2, W7-M4-2</t>
  </si>
  <si>
    <t xml:space="preserve">Trung bình</t>
  </si>
  <si>
    <t xml:space="preserve">FR-2 cho phép ảnh OCT, nhưng mô hình chỉ xử lý ảnh đáy mắt (Fundus).</t>
  </si>
  <si>
    <t xml:space="preserve">Chốt quy tắc: hệ thống nhận cả OCT, gắn cờ 'chưa hỗ trợ phân tích AI'; AI trả mã 'unsupported' cho OCT.</t>
  </si>
  <si>
    <t xml:space="preserve">W1-M2-1, W2-M4-1, W3-M2-2</t>
  </si>
  <si>
    <t xml:space="preserve">Dashboard Admin (FR-35,36) cần số liệu từ nhiều service. Nếu truy vấn thẳng DB chéo service thì vi phạm nguyên tắc microservice (mỗi service một DB).</t>
  </si>
  <si>
    <t xml:space="preserve">Thêm service thứ 8 là analytics-svc, dữ liệu được NiFi flow #3 (ETL) đẩy vào. Thống nhất schema đích từ Thứ Hai tuần 6.</t>
  </si>
  <si>
    <t xml:space="preserve">W6-M3-3, W6-M4-1</t>
  </si>
  <si>
    <t xml:space="preserve">Cả stack (7 service .NET, AI, NiFi, Postgres, Mongo, RabbitMQ, Seq) trên một VPS nhỏ sẽ hết RAM. NiFi một mình cần khoảng 2GB.</t>
  </si>
  <si>
    <t xml:space="preserve">VPS khuyến nghị tối thiểu 8 vCPU / 16GB RAM. AI chạy CPU bằng ONNX, giới hạn RAM từng container, đo từ tuần 2. Có thể dùng Supabase Postgres để nhẹ VPS.</t>
  </si>
  <si>
    <t xml:space="preserve">W1-M1-5, W2-M1-4, W2-M4-4</t>
  </si>
  <si>
    <t xml:space="preserve">FR-1 chỉ ghi đăng ký và đăng nhập, nhưng hệ thống chạy thật cần quên mật khẩu và xác minh email.</t>
  </si>
  <si>
    <t xml:space="preserve">Thêm task quên/đặt lại mật khẩu và xác minh email ở tuần 2.</t>
  </si>
  <si>
    <t xml:space="preserve">W2-M2-4, W2-M5-2</t>
  </si>
  <si>
    <t xml:space="preserve">Ảnh y tế lưu trên Cloudinary có thể bị truy cập qua URL công khai, trái NFR-9 và NFR-10. Ảnh có thể chứa EXIF/PII.</t>
  </si>
  <si>
    <t xml:space="preserve">Dùng ảnh private với signed URL, xóa EXIF khi tải lên và khi ẩn danh dữ liệu retrain.</t>
  </si>
  <si>
    <t xml:space="preserve">W5-M1-4, W5-M4-1</t>
  </si>
  <si>
    <t xml:space="preserve">NFR-20 yêu cầu 'định dạng y khoa chuẩn nếu có thể' nhưng kế hoạch cũ chỉ có PDF/CSV.</t>
  </si>
  <si>
    <t xml:space="preserve">Thêm xuất FHIR DiagnosticReport (JSON) ở tuần 4.</t>
  </si>
  <si>
    <t xml:space="preserve">W4-M1-2</t>
  </si>
  <si>
    <t xml:space="preserve">NFR-18 (log tập trung) chưa bao gồm service Python AI.</t>
  </si>
  <si>
    <t xml:space="preserve">Task Seq ở tuần 4 gồm cả log AI Core.</t>
  </si>
  <si>
    <t xml:space="preserve">W4-M1-5</t>
  </si>
  <si>
    <t xml:space="preserve">NFR-4 (uptime ≥99%) chưa có công cụ giám sát.</t>
  </si>
  <si>
    <t xml:space="preserve">Thêm giám sát uptime và cảnh báo ở tuần 5, kiểm tra ở tuần 7.</t>
  </si>
  <si>
    <t xml:space="preserve">W5-M1-5, W7-M1-4</t>
  </si>
  <si>
    <t xml:space="preserve">NFR-8 (nhiều clinic, hàng nghìn user) chưa có bài test tương ứng.</t>
  </si>
  <si>
    <t xml:space="preserve">Gộp vào test k6 tuần 7.</t>
  </si>
  <si>
    <t xml:space="preserve">W7-M1-2</t>
  </si>
  <si>
    <t xml:space="preserve">Thấp</t>
  </si>
  <si>
    <t xml:space="preserve">Worker RabbitMQ và module xuất báo cáo do M1 viết nhưng nằm trong vùng code của M2, dễ xung đột.</t>
  </si>
  <si>
    <t xml:space="preserve">Worker là project riêng (analysis-worker) do M1 sở hữu; module báo cáo tách thư mục riêng, khai báo trong CODEOWNERS.</t>
  </si>
  <si>
    <t xml:space="preserve">W3-M1-1, W4-M1-1</t>
  </si>
  <si>
    <t xml:space="preserve">Đăng nhập 'social' (ngoài Google) như Facebook cần app review mới dùng ngoài chế độ dev.</t>
  </si>
  <si>
    <t xml:space="preserve">Dùng Google làm chính; thêm một provider social ở chế độ dev trong Firebase. Ghi hạn chế vào tài liệu.</t>
  </si>
  <si>
    <t xml:space="preserve">W2-M2-2</t>
  </si>
  <si>
    <t xml:space="preserve">Xác nhận</t>
  </si>
  <si>
    <t xml:space="preserve">Tổng giờ mỗi người mỗi tuần.</t>
  </si>
  <si>
    <t xml:space="preserve">Đã kiểm lại: 40/40 ô người-tuần đều đúng 52 giờ, tổng 416 giờ/người (xem sheet 'Tổng giờ').</t>
  </si>
  <si>
    <t xml:space="preserve">Tổng giờ</t>
  </si>
  <si>
    <t xml:space="preserve">Những điểm hệ thống KHÔNG đạt hoặc chỉ ở mức mô phỏng (cần nói thẳng khi bảo vệ)</t>
  </si>
  <si>
    <t xml:space="preserve">Điểm nguy cơ AI là heuristic để minh họa luồng phần mềm, chưa được kiểm chứng lâm sàng.</t>
  </si>
  <si>
    <t xml:space="preserve">Tích hợp máy chụp đáy mắt thật được mô phỏng bằng NiFi (thư mục/HTTP/SFTP), chưa nối thiết bị thật.</t>
  </si>
  <si>
    <t xml:space="preserve">Thanh toán chạy trên VNPay sandbox, không phải tiền thật.</t>
  </si>
  <si>
    <t xml:space="preserve">Ứng dụng mobile Flutter không làm (đề tài ghi optional).</t>
  </si>
  <si>
    <t xml:space="preserve">Chuẩn HIPAA-like được thể hiện bằng kiểm soát kỹ thuật (mã hóa, RBAC, audit), chưa có chứng nhận tuân thủ.</t>
  </si>
  <si>
    <t xml:space="preserve">ID</t>
  </si>
  <si>
    <t xml:space="preserve">Tuần</t>
  </si>
  <si>
    <t xml:space="preserve">Người</t>
  </si>
  <si>
    <t xml:space="preserve">Tên task (Jira Summary)</t>
  </si>
  <si>
    <t xml:space="preserve">Epic</t>
  </si>
  <si>
    <t xml:space="preserve">Giờ</t>
  </si>
  <si>
    <t xml:space="preserve">FR/NFR liên quan</t>
  </si>
  <si>
    <t xml:space="preserve">Cần trước (đầu vào)</t>
  </si>
  <si>
    <t xml:space="preserve">Tiêu chí hoàn thành</t>
  </si>
  <si>
    <t xml:space="preserve">Sprint</t>
  </si>
  <si>
    <t xml:space="preserve">Labels</t>
  </si>
  <si>
    <t xml:space="preserve">_ref</t>
  </si>
  <si>
    <t xml:space="preserve">W1-M1-1</t>
  </si>
  <si>
    <t xml:space="preserve">M1</t>
  </si>
  <si>
    <t xml:space="preserve">[W1][M1] Tạo Jira: workflow, board, sprint 1→8</t>
  </si>
  <si>
    <t xml:space="preserve">E1 - Platform/DevOps</t>
  </si>
  <si>
    <t xml:space="preserve">—</t>
  </si>
  <si>
    <t xml:space="preserve">Board đủ 5 cột; 8 sprint; bật Original estimate/Log work; đủ 5 thành viên</t>
  </si>
  <si>
    <t xml:space="preserve">Sprint 1 - Nền móng</t>
  </si>
  <si>
    <t xml:space="preserve">W1 M1</t>
  </si>
  <si>
    <t xml:space="preserve">,,</t>
  </si>
  <si>
    <t xml:space="preserve">W1-M1-2</t>
  </si>
  <si>
    <t xml:space="preserve">[W1][M1] GitHub monorepo, branch protection, CODEOWNERS, PR template, CI khung</t>
  </si>
  <si>
    <t xml:space="preserve">NFR-17</t>
  </si>
  <si>
    <t xml:space="preserve">Không push thẳng main/develop; PR cần 1 review; CI chạy trên mỗi PR</t>
  </si>
  <si>
    <t xml:space="preserve">,NFR-17,</t>
  </si>
  <si>
    <t xml:space="preserve">W1-M1-3</t>
  </si>
  <si>
    <t xml:space="preserve">[W1][M1] Confluence space, template, DoD</t>
  </si>
  <si>
    <t xml:space="preserve">E14 - Documentation</t>
  </si>
  <si>
    <t xml:space="preserve">Cây 7 thư mục; template trang; DoD đã đăng và cả nhóm đã đọc</t>
  </si>
  <si>
    <t xml:space="preserve">W1-M1-4</t>
  </si>
  <si>
    <t xml:space="preserve">[W1][M1] Architecture v0.1: sơ đồ SOA/microservice, ranh giới service, ADR 001→010</t>
  </si>
  <si>
    <t xml:space="preserve">NFR-7,NFR-17</t>
  </si>
  <si>
    <t xml:space="preserve">Sơ đồ + 10 ADR trên Confluence, nhóm thống nhất</t>
  </si>
  <si>
    <t xml:space="preserve">,NFR-7,NFR-17,</t>
  </si>
  <si>
    <t xml:space="preserve">W1-M1-5</t>
  </si>
  <si>
    <t xml:space="preserve">[W1][M1] docker-compose hạ tầng: Postgres, Mongo, RabbitMQ, NiFi</t>
  </si>
  <si>
    <t xml:space="preserve">NFR-7</t>
  </si>
  <si>
    <t xml:space="preserve">docker compose up chạy đủ 4 thành phần; ghi rõ RAM tối thiểu VPS (khuyến nghị 16GB)</t>
  </si>
  <si>
    <t xml:space="preserve">,NFR-7,</t>
  </si>
  <si>
    <t xml:space="preserve">W1-M1-6</t>
  </si>
  <si>
    <t xml:space="preserve">[W1][M1] Template service .NET (Clean Architecture, health check, Serilog, Swagger, Dockerfile)</t>
  </si>
  <si>
    <t xml:space="preserve">Clone về chạy được trong 10 phút; có /health, Swagger, Dockerfile</t>
  </si>
  <si>
    <t xml:space="preserve">W1-M2-1</t>
  </si>
  <si>
    <t xml:space="preserve">M2</t>
  </si>
  <si>
    <t xml:space="preserve">[W1][M2] Glossary và domain model</t>
  </si>
  <si>
    <t xml:space="preserve">≥30 thuật ngữ; chốt quy tắc OCT (nhận upload, chỉ Fundus được AI chấm)</t>
  </si>
  <si>
    <t xml:space="preserve">W1 M2</t>
  </si>
  <si>
    <t xml:space="preserve">W1-M2-2</t>
  </si>
  <si>
    <t xml:space="preserve">[W1][M2] Use case spec Patient, Doctor (FR-1→21)</t>
  </si>
  <si>
    <t xml:space="preserve">FR-1:21</t>
  </si>
  <si>
    <t xml:space="preserve">Mỗi FR có use case, luồng chính, luồng ngoại lệ</t>
  </si>
  <si>
    <t xml:space="preserve">,FR-1,FR-2,FR-3,FR-4,FR-5,FR-6,FR-7,FR-8,FR-9,FR-10,FR-11,FR-12,FR-13,FR-14,FR-15,FR-16,FR-17,FR-18,FR-19,FR-20,FR-21,</t>
  </si>
  <si>
    <t xml:space="preserve">W1-M2-3</t>
  </si>
  <si>
    <t xml:space="preserve">[W1][M2] Class diagram miền v0.1</t>
  </si>
  <si>
    <t xml:space="preserve">Account kế thừa 4 vai trò; Clinic, Analysis, Review, Report; đúng UML 2.0</t>
  </si>
  <si>
    <t xml:space="preserve">W1-M2-4</t>
  </si>
  <si>
    <t xml:space="preserve">[W1][M2] State diagram AnalysisRequest + Activity diagram luồng sàng lọc</t>
  </si>
  <si>
    <t xml:space="preserve">E4 - Analysis Pipeline</t>
  </si>
  <si>
    <t xml:space="preserve">FR-24</t>
  </si>
  <si>
    <t xml:space="preserve">Đủ trạng thái Pending→Processing→AIDone→Reviewed→Finalized/Failed</t>
  </si>
  <si>
    <t xml:space="preserve">,FR-24,</t>
  </si>
  <si>
    <t xml:space="preserve">W1-M2-5</t>
  </si>
  <si>
    <t xml:space="preserve">[W1][M2] ERD Profile/Analysis</t>
  </si>
  <si>
    <t xml:space="preserve">Schema tách theo service, không khóa ngoại chéo service</t>
  </si>
  <si>
    <t xml:space="preserve">W1-M3-1</t>
  </si>
  <si>
    <t xml:space="preserve">M3</t>
  </si>
  <si>
    <t xml:space="preserve">[W1][M3] Chuẩn hóa FR/NFR, sửa lỗi FR-30, ma trận truy vết, MoSCoW</t>
  </si>
  <si>
    <t xml:space="preserve">FR-30</t>
  </si>
  <si>
    <t xml:space="preserve">Ma trận FR/NFR↔task; FR-30 ghi đúng; phân loại Must/Should/Could</t>
  </si>
  <si>
    <t xml:space="preserve">W1 M3</t>
  </si>
  <si>
    <t xml:space="preserve">,FR-30,</t>
  </si>
  <si>
    <t xml:space="preserve">W1-M3-2</t>
  </si>
  <si>
    <t xml:space="preserve">[W1][M3] Use case spec Clinic, Admin (FR-22→39)</t>
  </si>
  <si>
    <t xml:space="preserve">FR-22:39</t>
  </si>
  <si>
    <t xml:space="preserve">Mỗi FR có use case</t>
  </si>
  <si>
    <t xml:space="preserve">,FR-22,FR-23,FR-24,FR-25,FR-26,FR-27,FR-28,FR-29,FR-30,FR-31,FR-32,FR-33,FR-34,FR-35,FR-36,FR-37,FR-38,FR-39,</t>
  </si>
  <si>
    <t xml:space="preserve">W1-M3-3</t>
  </si>
  <si>
    <t xml:space="preserve">[W1][M3] Tạo toàn bộ backlog Jira: epic, story, tiêu chí chấp nhận, ước lượng</t>
  </si>
  <si>
    <t xml:space="preserve">Use case Patient/Doctor (M2, Thứ Tư)</t>
  </si>
  <si>
    <t xml:space="preserve">Story cho 39 FR kèm AC; import từ file kế hoạch này</t>
  </si>
  <si>
    <t xml:space="preserve">W1-M3-4</t>
  </si>
  <si>
    <t xml:space="preserve">[W1][M3] Test plan khung, tiêu chí đo cho NFR</t>
  </si>
  <si>
    <t xml:space="preserve">E13 - Testing</t>
  </si>
  <si>
    <t xml:space="preserve">NFR-1:23</t>
  </si>
  <si>
    <t xml:space="preserve">Mỗi NFR có cách đo và ngưỡng đạt</t>
  </si>
  <si>
    <t xml:space="preserve">,NFR-1,NFR-2,NFR-3,NFR-4,NFR-5,NFR-6,NFR-7,NFR-8,NFR-9,NFR-10,NFR-11,NFR-12,NFR-13,NFR-14,NFR-15,NFR-16,NFR-17,NFR-18,NFR-19,NFR-20,NFR-21,NFR-22,NFR-23,</t>
  </si>
  <si>
    <t xml:space="preserve">W1-M3-5</t>
  </si>
  <si>
    <t xml:space="preserve">[W1][M3] Domain Billing/Notification + ERD</t>
  </si>
  <si>
    <t xml:space="preserve">ERD hai service; không FK chéo</t>
  </si>
  <si>
    <t xml:space="preserve">W1-M4-1</t>
  </si>
  <si>
    <t xml:space="preserve">M4</t>
  </si>
  <si>
    <t xml:space="preserve">[W1][M4] Tải dataset (APTOS/DRIVE), EDA</t>
  </si>
  <si>
    <t xml:space="preserve">E5 - AI Core</t>
  </si>
  <si>
    <t xml:space="preserve">Báo cáo EDA; ghi rõ dataset nào có nhãn gì</t>
  </si>
  <si>
    <t xml:space="preserve">W1 M4</t>
  </si>
  <si>
    <t xml:space="preserve">W1-M4-2</t>
  </si>
  <si>
    <t xml:space="preserve">[W1][M4] Notebook suy luận cơ sở: phân vùng mạch + phân loại</t>
  </si>
  <si>
    <t xml:space="preserve">FR-3</t>
  </si>
  <si>
    <t xml:space="preserve">Chạy được trên ≥20 ảnh mẫu, lưu kết quả</t>
  </si>
  <si>
    <t xml:space="preserve">,FR-3,</t>
  </si>
  <si>
    <t xml:space="preserve">W1-M4-3</t>
  </si>
  <si>
    <t xml:space="preserve">[W1][M4] Hợp đồng API AI (OpenAPI v0.1)</t>
  </si>
  <si>
    <t xml:space="preserve">NFR-21</t>
  </si>
  <si>
    <t xml:space="preserve">M1, M2 duyệt hợp đồng; input/output JSON cố định</t>
  </si>
  <si>
    <t xml:space="preserve">,NFR-21,</t>
  </si>
  <si>
    <t xml:space="preserve">W1-M4-4</t>
  </si>
  <si>
    <t xml:space="preserve">[W1][M4] Khung FastAPI + Dockerfile</t>
  </si>
  <si>
    <t xml:space="preserve">Container chạy, /health và /analyze (mock) trả JSON</t>
  </si>
  <si>
    <t xml:space="preserve">W1-M4-5</t>
  </si>
  <si>
    <t xml:space="preserve">[W1][M4] Dựng NiFi, flow hello</t>
  </si>
  <si>
    <t xml:space="preserve">E9 - NiFi Integration</t>
  </si>
  <si>
    <t xml:space="preserve">NiFi UI truy cập được, flow ListenHTTP→log chạy</t>
  </si>
  <si>
    <t xml:space="preserve">W1-M4-6</t>
  </si>
  <si>
    <t xml:space="preserve">[W1][M4] Báo cáo khả thi AI (độ chính xác, thời gian suy luận)</t>
  </si>
  <si>
    <t xml:space="preserve">NFR-1</t>
  </si>
  <si>
    <t xml:space="preserve">Có số liệu; nêu rõ risk score là heuristic vì dataset công khai không có nhãn tăng huyết áp/đột quỵ</t>
  </si>
  <si>
    <t xml:space="preserve">,NFR-1,</t>
  </si>
  <si>
    <t xml:space="preserve">W1-M5-1</t>
  </si>
  <si>
    <t xml:space="preserve">M5</t>
  </si>
  <si>
    <t xml:space="preserve">[W1][M5] Persona + sitemap theo 4 vai trò</t>
  </si>
  <si>
    <t xml:space="preserve">E12 - Frontend</t>
  </si>
  <si>
    <t xml:space="preserve">NFR-13</t>
  </si>
  <si>
    <t xml:space="preserve">Sitemap 4 vai trò được nhóm duyệt</t>
  </si>
  <si>
    <t xml:space="preserve">W1 M5</t>
  </si>
  <si>
    <t xml:space="preserve">,NFR-13,</t>
  </si>
  <si>
    <t xml:space="preserve">W1-M5-2</t>
  </si>
  <si>
    <t xml:space="preserve">[W1][M5] Wireframe Figma Patient + Doctor</t>
  </si>
  <si>
    <t xml:space="preserve">Phủ mọi màn của FR-1→21</t>
  </si>
  <si>
    <t xml:space="preserve">W1-M5-3</t>
  </si>
  <si>
    <t xml:space="preserve">[W1][M5] Wireframe Clinic + Admin</t>
  </si>
  <si>
    <t xml:space="preserve">Phủ mọi màn của FR-22→39</t>
  </si>
  <si>
    <t xml:space="preserve">W1-M5-4</t>
  </si>
  <si>
    <t xml:space="preserve">[W1][M5] Design system: màu, typography, component</t>
  </si>
  <si>
    <t xml:space="preserve">NFR-13,NFR-15</t>
  </si>
  <si>
    <t xml:space="preserve">Bảng màu, font, component cơ bản trên Figma</t>
  </si>
  <si>
    <t xml:space="preserve">,NFR-13,NFR-15,</t>
  </si>
  <si>
    <t xml:space="preserve">W1-M5-5</t>
  </si>
  <si>
    <t xml:space="preserve">[W1][M5] Scaffold React + TS (Vite, router, ESLint, UI lib, CI)</t>
  </si>
  <si>
    <t xml:space="preserve">Repo (M1, ngày 1-2)</t>
  </si>
  <si>
    <t xml:space="preserve">npm run dev chạy; CI lint+build xanh</t>
  </si>
  <si>
    <t xml:space="preserve">W2-M1-1</t>
  </si>
  <si>
    <t xml:space="preserve">[W2][M1] YARP Gateway: route, xác thực JWT, rate limit, CORS, correlation-id</t>
  </si>
  <si>
    <t xml:space="preserve">E2 - Identity &amp; Gateway</t>
  </si>
  <si>
    <t xml:space="preserve">NFR-12,NFR-21</t>
  </si>
  <si>
    <t xml:space="preserve">Khóa ký JWT dev (M2, Thứ Ba)</t>
  </si>
  <si>
    <t xml:space="preserve">Không token→401; có token→200; log có X-Correlation-Id</t>
  </si>
  <si>
    <t xml:space="preserve">Sprint 2 - Gateway, Identity, Profile, AI v0.1</t>
  </si>
  <si>
    <t xml:space="preserve">W2 M1</t>
  </si>
  <si>
    <t xml:space="preserve">,NFR-12,NFR-21,</t>
  </si>
  <si>
    <t xml:space="preserve">W2-M1-2</t>
  </si>
  <si>
    <t xml:space="preserve">[W2][M1] Thư viện dùng chung: exception middleware, logging, phân trang, response envelope</t>
  </si>
  <si>
    <t xml:space="preserve">NFR-17,NFR-18</t>
  </si>
  <si>
    <t xml:space="preserve">Template service (T1)</t>
  </si>
  <si>
    <t xml:space="preserve">≥3 service dùng chung thư viện</t>
  </si>
  <si>
    <t xml:space="preserve">,NFR-17,NFR-18,</t>
  </si>
  <si>
    <t xml:space="preserve">W2-M1-3</t>
  </si>
  <si>
    <t xml:space="preserve">[W2][M1] CI: build + test + docker build + đẩy GHCR</t>
  </si>
  <si>
    <t xml:space="preserve">PR chạy build+test; merge develop đẩy image lên GHCR</t>
  </si>
  <si>
    <t xml:space="preserve">W2-M1-4</t>
  </si>
  <si>
    <t xml:space="preserve">[W2][M1] VPS staging: Docker Compose + Nginx + tên miền + HTTPS Let's Encrypt</t>
  </si>
  <si>
    <t xml:space="preserve">NFR-9</t>
  </si>
  <si>
    <t xml:space="preserve">https://&lt;domain&gt;/health trả 200, chứng chỉ hợp lệ (FCM và VNPay cần HTTPS công khai); VPS ≥16GB RAM</t>
  </si>
  <si>
    <t xml:space="preserve">,NFR-9,</t>
  </si>
  <si>
    <t xml:space="preserve">W2-M1-5</t>
  </si>
  <si>
    <t xml:space="preserve">[W2][M1] Gom Swagger + Postman collection</t>
  </si>
  <si>
    <t xml:space="preserve">Một collection gọi được Identity, Profile qua Gateway</t>
  </si>
  <si>
    <t xml:space="preserve">W2-M2-1</t>
  </si>
  <si>
    <t xml:space="preserve">[W2][M2] Identity: đăng ký/đăng nhập email, JWT + refresh token</t>
  </si>
  <si>
    <t xml:space="preserve">FR-1</t>
  </si>
  <si>
    <t xml:space="preserve">Đăng ký→đăng nhập→JWT; refresh hoạt động; mật khẩu băm</t>
  </si>
  <si>
    <t xml:space="preserve">W2 M2</t>
  </si>
  <si>
    <t xml:space="preserve">,FR-1,</t>
  </si>
  <si>
    <t xml:space="preserve">[W2][M2] Xác minh Firebase ID Token (Google/Social login), tạo Firebase project</t>
  </si>
  <si>
    <t xml:space="preserve">Đăng nhập Google trả JWT của hệ thống; social thứ hai bật được trong Firebase</t>
  </si>
  <si>
    <t xml:space="preserve">W2-M2-3</t>
  </si>
  <si>
    <t xml:space="preserve">[W2][M2] RBAC 4 vai trò + seed dữ liệu</t>
  </si>
  <si>
    <t xml:space="preserve">FR-32,NFR-12</t>
  </si>
  <si>
    <t xml:space="preserve">Token chứa role; API sai quyền→403</t>
  </si>
  <si>
    <t xml:space="preserve">,FR-32,NFR-12,</t>
  </si>
  <si>
    <t xml:space="preserve">W2-M2-4</t>
  </si>
  <si>
    <t xml:space="preserve">[W2][M2] Quên/đặt lại mật khẩu + xác minh email</t>
  </si>
  <si>
    <t xml:space="preserve">Nhận email có link; đặt lại được mật khẩu</t>
  </si>
  <si>
    <t xml:space="preserve">W2-M2-5</t>
  </si>
  <si>
    <t xml:space="preserve">[W2][M2] Unit test Identity</t>
  </si>
  <si>
    <t xml:space="preserve">Coverage logic chính ≥70%, CI xanh</t>
  </si>
  <si>
    <t xml:space="preserve">W2-M2-6</t>
  </si>
  <si>
    <t xml:space="preserve">[W2][M2] Tài liệu API Identity (OpenAPI + Confluence)</t>
  </si>
  <si>
    <t xml:space="preserve">Trang Confluence + Swagger đủ endpoint</t>
  </si>
  <si>
    <t xml:space="preserve">W2-M3-1</t>
  </si>
  <si>
    <t xml:space="preserve">[W2][M3] Profile: hồ sơ bệnh nhân CRUD</t>
  </si>
  <si>
    <t xml:space="preserve">E3 - Profile &amp; Clinic</t>
  </si>
  <si>
    <t xml:space="preserve">FR-8</t>
  </si>
  <si>
    <t xml:space="preserve">JWT dev (M2)</t>
  </si>
  <si>
    <t xml:space="preserve">Tạo/sửa/xem hồ sơ; chỉ chủ hồ sơ truy cập</t>
  </si>
  <si>
    <t xml:space="preserve">W2 M3</t>
  </si>
  <si>
    <t xml:space="preserve">,FR-8,</t>
  </si>
  <si>
    <t xml:space="preserve">W2-M3-2</t>
  </si>
  <si>
    <t xml:space="preserve">[W2][M3] Đăng ký clinic + luồng xác minh</t>
  </si>
  <si>
    <t xml:space="preserve">FR-22</t>
  </si>
  <si>
    <t xml:space="preserve">Clinic đăng ký ở trạng thái Pending chờ duyệt</t>
  </si>
  <si>
    <t xml:space="preserve">,FR-22,</t>
  </si>
  <si>
    <t xml:space="preserve">W2-M3-3</t>
  </si>
  <si>
    <t xml:space="preserve">[W2][M3] Quản lý bác sĩ/bệnh nhân thuộc clinic</t>
  </si>
  <si>
    <t xml:space="preserve">FR-23</t>
  </si>
  <si>
    <t xml:space="preserve">Clinic thêm/sửa/khóa bác sĩ và bệnh nhân của mình</t>
  </si>
  <si>
    <t xml:space="preserve">,FR-23,</t>
  </si>
  <si>
    <t xml:space="preserve">W2-M3-4</t>
  </si>
  <si>
    <t xml:space="preserve">[W2][M3] Gán bác sĩ–bệnh nhân</t>
  </si>
  <si>
    <t xml:space="preserve">FR-13</t>
  </si>
  <si>
    <t xml:space="preserve">Bác sĩ chỉ thấy bệnh nhân được gán</t>
  </si>
  <si>
    <t xml:space="preserve">,FR-13,</t>
  </si>
  <si>
    <t xml:space="preserve">W2-M3-5</t>
  </si>
  <si>
    <t xml:space="preserve">[W2][M3] Unit test Profile</t>
  </si>
  <si>
    <t xml:space="preserve">Coverage ≥70%</t>
  </si>
  <si>
    <t xml:space="preserve">W2-M3-6</t>
  </si>
  <si>
    <t xml:space="preserve">[W2][M3] Tài liệu API Profile</t>
  </si>
  <si>
    <t xml:space="preserve">Trang Confluence + Swagger</t>
  </si>
  <si>
    <t xml:space="preserve">W2-M4-1</t>
  </si>
  <si>
    <t xml:space="preserve">[W2][M4] AI Core v0.1 /analyze: tiền xử lý, phân vùng mạch, phân loại cơ sở</t>
  </si>
  <si>
    <t xml:space="preserve">Hợp đồng API (T1)</t>
  </si>
  <si>
    <t xml:space="preserve">Ảnh fundus→JSON đúng hợp đồng; OCT trả mã 'unsupported'</t>
  </si>
  <si>
    <t xml:space="preserve">W2 M4</t>
  </si>
  <si>
    <t xml:space="preserve">W2-M4-2</t>
  </si>
  <si>
    <t xml:space="preserve">[W2][M4] Model loader, config, metadata phiên bản</t>
  </si>
  <si>
    <t xml:space="preserve">NFR-23</t>
  </si>
  <si>
    <t xml:space="preserve">Response chứa model_version và thresholds</t>
  </si>
  <si>
    <t xml:space="preserve">,NFR-23,</t>
  </si>
  <si>
    <t xml:space="preserve">W2-M4-3</t>
  </si>
  <si>
    <t xml:space="preserve">[W2][M4] Schema output + mock mode</t>
  </si>
  <si>
    <t xml:space="preserve">Bật biến môi trường là trả JSON mock đúng schema</t>
  </si>
  <si>
    <t xml:space="preserve">W2-M4-4</t>
  </si>
  <si>
    <t xml:space="preserve">[W2][M4] Unit test + tối ưu Docker image (ONNX/CPU)</t>
  </si>
  <si>
    <t xml:space="preserve">Image &lt;3GB; test xanh</t>
  </si>
  <si>
    <t xml:space="preserve">W2-M4-5</t>
  </si>
  <si>
    <t xml:space="preserve">[W2][M4] Đo latency</t>
  </si>
  <si>
    <t xml:space="preserve">Báo cáo p50/p95 trên VPS staging</t>
  </si>
  <si>
    <t xml:space="preserve">W2-M4-6</t>
  </si>
  <si>
    <t xml:space="preserve">[W2][M4] Học NiFi: ListenHTTP, InvokeHTTP, versioning</t>
  </si>
  <si>
    <t xml:space="preserve">Flow mẫu nhận file và gọi API thử</t>
  </si>
  <si>
    <t xml:space="preserve">W2-M5-1</t>
  </si>
  <si>
    <t xml:space="preserve">[W2][M5] Figma hi-fi màn ưu tiên Patient + Doctor</t>
  </si>
  <si>
    <t xml:space="preserve">Hi-fi cho đăng nhập, upload, kết quả, review</t>
  </si>
  <si>
    <t xml:space="preserve">W2 M5</t>
  </si>
  <si>
    <t xml:space="preserve">W2-M5-2</t>
  </si>
  <si>
    <t xml:space="preserve">[W2][M5] Trang đăng ký/đăng nhập/quên mật khẩu + route guard theo vai trò</t>
  </si>
  <si>
    <t xml:space="preserve">FR-1,NFR-12</t>
  </si>
  <si>
    <t xml:space="preserve">Identity login (M2, Thứ Tư) hoặc MSW</t>
  </si>
  <si>
    <t xml:space="preserve">Đăng nhập email + Google; vào đúng trang theo vai trò</t>
  </si>
  <si>
    <t xml:space="preserve">,FR-1,NFR-12,</t>
  </si>
  <si>
    <t xml:space="preserve">W2-M5-3</t>
  </si>
  <si>
    <t xml:space="preserve">[W2][M5] Axios client + refresh token + MSW mock</t>
  </si>
  <si>
    <t xml:space="preserve">Token hết hạn tự refresh; mock chạy khi API chưa sẵn</t>
  </si>
  <si>
    <t xml:space="preserve">W2-M5-4</t>
  </si>
  <si>
    <t xml:space="preserve">[W2][M5] Layout/shell theo vai trò (responsive)</t>
  </si>
  <si>
    <t xml:space="preserve">Menu khác nhau theo 4 vai trò; chạy trên mobile</t>
  </si>
  <si>
    <t xml:space="preserve">W2-M5-5</t>
  </si>
  <si>
    <t xml:space="preserve">[W2][M5] Trang hồ sơ cá nhân và thông tin y tế</t>
  </si>
  <si>
    <t xml:space="preserve">Profile API (M3) hoặc MSW</t>
  </si>
  <si>
    <t xml:space="preserve">Xem và sửa hồ sơ</t>
  </si>
  <si>
    <t xml:space="preserve">W2-M5-6</t>
  </si>
  <si>
    <t xml:space="preserve">[W2][M5] Thư viện component</t>
  </si>
  <si>
    <t xml:space="preserve">NFR-15</t>
  </si>
  <si>
    <t xml:space="preserve">Button, Form, Table, Modal, Toast dùng chung</t>
  </si>
  <si>
    <t xml:space="preserve">,NFR-15,</t>
  </si>
  <si>
    <t xml:space="preserve">W3-M1-1</t>
  </si>
  <si>
    <t xml:space="preserve">[W3][M1] Worker RabbitMQ → AI Core: retry, dead-letter, idempotency</t>
  </si>
  <si>
    <t xml:space="preserve">NFR-2,NFR-5,NFR-7</t>
  </si>
  <si>
    <t xml:space="preserve">Schema AnalysisRequested (M2, T3 Thứ Hai-Ba); AI /analyze (T2)</t>
  </si>
  <si>
    <t xml:space="preserve">Ảnh vào queue→AI→kết quả; AI lỗi→retry→DLQ; ảnh không mất</t>
  </si>
  <si>
    <t xml:space="preserve">Sprint 3 - Luồng phân tích</t>
  </si>
  <si>
    <t xml:space="preserve">W3 M1</t>
  </si>
  <si>
    <t xml:space="preserve">,NFR-2,NFR-5,NFR-7,</t>
  </si>
  <si>
    <t xml:space="preserve">W3-M1-2</t>
  </si>
  <si>
    <t xml:space="preserve">[W3][M1] Lưu phiên bản AI + ngưỡng vào mỗi kết quả</t>
  </si>
  <si>
    <t xml:space="preserve">Mỗi kết quả có model_version và thresholds</t>
  </si>
  <si>
    <t xml:space="preserve">W3-M1-3</t>
  </si>
  <si>
    <t xml:space="preserve">[W3][M1] Khung BatchJob</t>
  </si>
  <si>
    <t xml:space="preserve">FR-24,NFR-2</t>
  </si>
  <si>
    <t xml:space="preserve">Tạo batch, theo dõi trạng thái từng ảnh</t>
  </si>
  <si>
    <t xml:space="preserve">,FR-24,NFR-2,</t>
  </si>
  <si>
    <t xml:space="preserve">W3-M1-4</t>
  </si>
  <si>
    <t xml:space="preserve">[W3][M1] Integration test (Testcontainers)</t>
  </si>
  <si>
    <t xml:space="preserve">NFR-5</t>
  </si>
  <si>
    <t xml:space="preserve">Test Upload→Queue→AI chạy trên CI</t>
  </si>
  <si>
    <t xml:space="preserve">,NFR-5,</t>
  </si>
  <si>
    <t xml:space="preserve">W3-M1-5</t>
  </si>
  <si>
    <t xml:space="preserve">[W3][M1] Docker Compose toàn stack</t>
  </si>
  <si>
    <t xml:space="preserve">docker compose up chạy toàn bộ service</t>
  </si>
  <si>
    <t xml:space="preserve">W3-M2-1</t>
  </si>
  <si>
    <t xml:space="preserve">[W3][M2] Analysis: entity + migration</t>
  </si>
  <si>
    <t xml:space="preserve">ERD (T1)</t>
  </si>
  <si>
    <t xml:space="preserve">Migration chạy sạch trên DB mới</t>
  </si>
  <si>
    <t xml:space="preserve">W3 M2</t>
  </si>
  <si>
    <t xml:space="preserve">W3-M2-2</t>
  </si>
  <si>
    <t xml:space="preserve">[W3][M2] Upload đơn/đa ảnh Cloudinary, kiểm tra định dạng/dung lượng; nhận Fundus/OCT</t>
  </si>
  <si>
    <t xml:space="preserve">FR-2</t>
  </si>
  <si>
    <t xml:space="preserve">Upload nhiều ảnh; sai định dạng bị từ chối; OCT gắn cờ chưa hỗ trợ AI</t>
  </si>
  <si>
    <t xml:space="preserve">,FR-2,</t>
  </si>
  <si>
    <t xml:space="preserve">W3-M2-3</t>
  </si>
  <si>
    <t xml:space="preserve">[W3][M2] AnalysisRequest theo State pattern</t>
  </si>
  <si>
    <t xml:space="preserve">Chuyển trạng thái hợp lệ; chuyển sai bị chặn</t>
  </si>
  <si>
    <t xml:space="preserve">W3-M2-4</t>
  </si>
  <si>
    <t xml:space="preserve">[W3][M2] Phát sự kiện RabbitMQ</t>
  </si>
  <si>
    <t xml:space="preserve">Schema AnalysisRequested/Completed đã ghi vào Confluence</t>
  </si>
  <si>
    <t xml:space="preserve">W3-M2-5</t>
  </si>
  <si>
    <t xml:space="preserve">[W3][M2] Kiểm tra credit gọi Billing (REST + Polly circuit breaker)</t>
  </si>
  <si>
    <t xml:space="preserve">E8 - Billing</t>
  </si>
  <si>
    <t xml:space="preserve">FR-11</t>
  </si>
  <si>
    <t xml:space="preserve">Billing API/stub (M3, Thứ Tư)</t>
  </si>
  <si>
    <t xml:space="preserve">Hết credit→từ chối; Billing sập→circuit breaker mở</t>
  </si>
  <si>
    <t xml:space="preserve">,FR-11,</t>
  </si>
  <si>
    <t xml:space="preserve">W3-M2-6</t>
  </si>
  <si>
    <t xml:space="preserve">[W3][M2] Unit/integration test Analysis</t>
  </si>
  <si>
    <t xml:space="preserve">W3-M3-1</t>
  </si>
  <si>
    <t xml:space="preserve">[W3][M3] Billing v1: gói + số dư credit</t>
  </si>
  <si>
    <t xml:space="preserve">FR-11,FR-12</t>
  </si>
  <si>
    <t xml:space="preserve">Gói và credit lưu đúng</t>
  </si>
  <si>
    <t xml:space="preserve">W3 M3</t>
  </si>
  <si>
    <t xml:space="preserve">,FR-11,FR-12,</t>
  </si>
  <si>
    <t xml:space="preserve">W3-M3-2</t>
  </si>
  <si>
    <t xml:space="preserve">[W3][M3] API giữ/trừ/hoàn credit (saga)</t>
  </si>
  <si>
    <t xml:space="preserve">Giữ→trừ khi xong; AI lỗi→hoàn credit</t>
  </si>
  <si>
    <t xml:space="preserve">W3-M3-3</t>
  </si>
  <si>
    <t xml:space="preserve">[W3][M3] API lịch sử thanh toán/credit</t>
  </si>
  <si>
    <t xml:space="preserve">FR-12</t>
  </si>
  <si>
    <t xml:space="preserve">Trả danh sách có phân trang</t>
  </si>
  <si>
    <t xml:space="preserve">,FR-12,</t>
  </si>
  <si>
    <t xml:space="preserve">W3-M3-4</t>
  </si>
  <si>
    <t xml:space="preserve">[W3][M3] Adapter thanh toán giả (Strategy)</t>
  </si>
  <si>
    <t xml:space="preserve">Đổi cổng thanh toán không sửa nghiệp vụ</t>
  </si>
  <si>
    <t xml:space="preserve">W3-M3-5</t>
  </si>
  <si>
    <t xml:space="preserve">[W3][M3] Test Billing</t>
  </si>
  <si>
    <t xml:space="preserve">Coverage ≥70%, case hoàn credit</t>
  </si>
  <si>
    <t xml:space="preserve">W3-M3-6</t>
  </si>
  <si>
    <t xml:space="preserve">[W3][M3] Tài liệu Billing</t>
  </si>
  <si>
    <t xml:space="preserve">Sequence diagram + API</t>
  </si>
  <si>
    <t xml:space="preserve">W3-M4-1</t>
  </si>
  <si>
    <t xml:space="preserve">[W3][M4] Grad-CAM heatmap + ảnh chú thích mạch</t>
  </si>
  <si>
    <t xml:space="preserve">FR-4,NFR-22</t>
  </si>
  <si>
    <t xml:space="preserve">Trả URL heatmap và ảnh annotated</t>
  </si>
  <si>
    <t xml:space="preserve">W3 M4</t>
  </si>
  <si>
    <t xml:space="preserve">,FR-4,NFR-22,</t>
  </si>
  <si>
    <t xml:space="preserve">W3-M4-2</t>
  </si>
  <si>
    <t xml:space="preserve">[W3][M4] Risk score HA/ĐTĐ/đột quỵ, ngưỡng cấu hình (heuristic, có disclaimer)</t>
  </si>
  <si>
    <t xml:space="preserve">FR-3,FR-5</t>
  </si>
  <si>
    <t xml:space="preserve">Trả 3 mức nguy cơ; ngưỡng sửa qua cấu hình; ghi rõ không phải chẩn đoán</t>
  </si>
  <si>
    <t xml:space="preserve">,FR-3,FR-5,</t>
  </si>
  <si>
    <t xml:space="preserve">W3-M4-3</t>
  </si>
  <si>
    <t xml:space="preserve">[W3][M4] Model registry + versioning</t>
  </si>
  <si>
    <t xml:space="preserve">Liệt kê/chọn phiên bản model</t>
  </si>
  <si>
    <t xml:space="preserve">W3-M4-4</t>
  </si>
  <si>
    <t xml:space="preserve">[W3][M4] Tối ưu để đạt 10–20 giây/ảnh</t>
  </si>
  <si>
    <t xml:space="preserve">p95 ≤20 giây trên VPS</t>
  </si>
  <si>
    <t xml:space="preserve">W3-M4-5</t>
  </si>
  <si>
    <t xml:space="preserve">[W3][M4] JSON giải thích kết quả</t>
  </si>
  <si>
    <t xml:space="preserve">NFR-22</t>
  </si>
  <si>
    <t xml:space="preserve">Trả các yếu tố giải thích kèm kết quả</t>
  </si>
  <si>
    <t xml:space="preserve">,NFR-22,</t>
  </si>
  <si>
    <t xml:space="preserve">W3-M4-6</t>
  </si>
  <si>
    <t xml:space="preserve">[W3][M4] Test AI Core</t>
  </si>
  <si>
    <t xml:space="preserve">Test xanh trên CI</t>
  </si>
  <si>
    <t xml:space="preserve">W3-M5-1</t>
  </si>
  <si>
    <t xml:space="preserve">[W3][M5] UI upload kéo thả + tiến trình</t>
  </si>
  <si>
    <t xml:space="preserve">FR-2,NFR-14</t>
  </si>
  <si>
    <t xml:space="preserve">Analysis API (M2) hoặc MSW</t>
  </si>
  <si>
    <t xml:space="preserve">Upload nhiều ảnh, hiện tiến trình; ≤3 click</t>
  </si>
  <si>
    <t xml:space="preserve">W3 M5</t>
  </si>
  <si>
    <t xml:space="preserve">,FR-2,NFR-14,</t>
  </si>
  <si>
    <t xml:space="preserve">W3-M5-2</t>
  </si>
  <si>
    <t xml:space="preserve">[W3][M5] Danh sách phân tích + polling trạng thái</t>
  </si>
  <si>
    <t xml:space="preserve">FR-6</t>
  </si>
  <si>
    <t xml:space="preserve">Trạng thái cập nhật tự động</t>
  </si>
  <si>
    <t xml:space="preserve">,FR-6,</t>
  </si>
  <si>
    <t xml:space="preserve">W3-M5-3</t>
  </si>
  <si>
    <t xml:space="preserve">[W3][M5] Dashboard bệnh nhân</t>
  </si>
  <si>
    <t xml:space="preserve">Tổng quan lần phân tích gần nhất và credit</t>
  </si>
  <si>
    <t xml:space="preserve">W3-M5-4</t>
  </si>
  <si>
    <t xml:space="preserve">[W3][M5] Khung trang kết quả</t>
  </si>
  <si>
    <t xml:space="preserve">Hiện risk level từ API</t>
  </si>
  <si>
    <t xml:space="preserve">W3-M5-5</t>
  </si>
  <si>
    <t xml:space="preserve">[W3][M5] Firebase Web SDK</t>
  </si>
  <si>
    <t xml:space="preserve">FR-9</t>
  </si>
  <si>
    <t xml:space="preserve">Lấy được FCM token trên trình duyệt</t>
  </si>
  <si>
    <t xml:space="preserve">,FR-9,</t>
  </si>
  <si>
    <t xml:space="preserve">W3-M5-6</t>
  </si>
  <si>
    <t xml:space="preserve">[W3][M5] Test/UX review</t>
  </si>
  <si>
    <t xml:space="preserve">Danh sách lỗi UX đã xử lý</t>
  </si>
  <si>
    <t xml:space="preserve">W4-M1-1</t>
  </si>
  <si>
    <t xml:space="preserve">[W4][M1] Xuất báo cáo PDF (QuestPDF) + CSV</t>
  </si>
  <si>
    <t xml:space="preserve">E6 - Doctor Workflow</t>
  </si>
  <si>
    <t xml:space="preserve">FR-7,NFR-20</t>
  </si>
  <si>
    <t xml:space="preserve">Kết quả phân tích (M2, T4 Thứ Tư)</t>
  </si>
  <si>
    <t xml:space="preserve">PDF có kết quả, risk, ảnh annotated, phiên bản AI; CSV mở được bằng Excel</t>
  </si>
  <si>
    <t xml:space="preserve">Sprint 4 - MVP</t>
  </si>
  <si>
    <t xml:space="preserve">W4 M1</t>
  </si>
  <si>
    <t xml:space="preserve">,FR-7,NFR-20,</t>
  </si>
  <si>
    <t xml:space="preserve">[W4][M1] Xuất FHIR DiagnosticReport JSON</t>
  </si>
  <si>
    <t xml:space="preserve">NFR-20</t>
  </si>
  <si>
    <t xml:space="preserve">JSON hợp lệ theo FHIR R4 cho một báo cáo</t>
  </si>
  <si>
    <t xml:space="preserve">,NFR-20,</t>
  </si>
  <si>
    <t xml:space="preserve">W4-M1-3</t>
  </si>
  <si>
    <t xml:space="preserve">[W4][M1] Gateway: thêm route, health tổng hợp</t>
  </si>
  <si>
    <t xml:space="preserve">/health tổng hợp mọi service</t>
  </si>
  <si>
    <t xml:space="preserve">W4-M1-4</t>
  </si>
  <si>
    <t xml:space="preserve">[W4][M1] CD tự động lên staging</t>
  </si>
  <si>
    <t xml:space="preserve">Merge develop tự deploy staging</t>
  </si>
  <si>
    <t xml:space="preserve">[W4][M1] Logging tập trung Seq (kể cả log Python AI)</t>
  </si>
  <si>
    <t xml:space="preserve">NFR-18</t>
  </si>
  <si>
    <t xml:space="preserve">Log mọi service xem được trên Seq theo correlation-id</t>
  </si>
  <si>
    <t xml:space="preserve">,NFR-18,</t>
  </si>
  <si>
    <t xml:space="preserve">W4-M1-6</t>
  </si>
  <si>
    <t xml:space="preserve">[W4][M1] Xử lý nợ kỹ thuật tuần 1–3</t>
  </si>
  <si>
    <t xml:space="preserve">Danh sách nợ đã đóng</t>
  </si>
  <si>
    <t xml:space="preserve">W4-M2-1</t>
  </si>
  <si>
    <t xml:space="preserve">[W4][M2] API review bác sĩ: danh sách được gán, xác nhận/sửa, ghi chú</t>
  </si>
  <si>
    <t xml:space="preserve">FR-13:16</t>
  </si>
  <si>
    <t xml:space="preserve">Bác sĩ xác nhận/sửa kết quả, ghi chú; trạng thái→Reviewed/Finalized</t>
  </si>
  <si>
    <t xml:space="preserve">W4 M2</t>
  </si>
  <si>
    <t xml:space="preserve">,FR-13,FR-14,FR-15,FR-16,</t>
  </si>
  <si>
    <t xml:space="preserve">W4-M2-2</t>
  </si>
  <si>
    <t xml:space="preserve">[W4][M2] Lịch sử + xu hướng + tìm/lọc theo ID/tên/mức nguy cơ</t>
  </si>
  <si>
    <t xml:space="preserve">FR-6,FR-17,FR-18</t>
  </si>
  <si>
    <t xml:space="preserve">Lọc đúng; xu hướng theo thời gian</t>
  </si>
  <si>
    <t xml:space="preserve">,FR-6,FR-17,FR-18,</t>
  </si>
  <si>
    <t xml:space="preserve">W4-M2-3</t>
  </si>
  <si>
    <t xml:space="preserve">[W4][M2] Engine khuyến nghị/cảnh báo</t>
  </si>
  <si>
    <t xml:space="preserve">FR-5</t>
  </si>
  <si>
    <t xml:space="preserve">Mỗi mức nguy cơ có khuyến nghị tương ứng</t>
  </si>
  <si>
    <t xml:space="preserve">,FR-5,</t>
  </si>
  <si>
    <t xml:space="preserve">W4-M2-4</t>
  </si>
  <si>
    <t xml:space="preserve">[W4][M2] Test + cập nhật Swagger</t>
  </si>
  <si>
    <t xml:space="preserve">W4-M2-5</t>
  </si>
  <si>
    <t xml:space="preserve">[W4][M2] Contract test sự kiện analysis.completed / review.finalized</t>
  </si>
  <si>
    <t xml:space="preserve">Consumer test xanh</t>
  </si>
  <si>
    <t xml:space="preserve">W4-M3-1</t>
  </si>
  <si>
    <t xml:space="preserve">[W4][M3] Notification + Firebase FCM: đăng ký token, gửi, topic</t>
  </si>
  <si>
    <t xml:space="preserve">E7 - Notification &amp; Chat</t>
  </si>
  <si>
    <t xml:space="preserve">Push nhận được khi AI xong</t>
  </si>
  <si>
    <t xml:space="preserve">W4 M3</t>
  </si>
  <si>
    <t xml:space="preserve">W4-M3-2</t>
  </si>
  <si>
    <t xml:space="preserve">[W4][M3] Consumer sự kiện analysis.completed / review.finalized</t>
  </si>
  <si>
    <t xml:space="preserve">Sự kiện (M2, T4 Thứ Tư)</t>
  </si>
  <si>
    <t xml:space="preserve">Sự kiện→thông báo đúng người</t>
  </si>
  <si>
    <t xml:space="preserve">W4-M3-3</t>
  </si>
  <si>
    <t xml:space="preserve">[W4][M3] Thông báo in-app (Mongo)</t>
  </si>
  <si>
    <t xml:space="preserve">Danh sách, đánh dấu đã đọc</t>
  </si>
  <si>
    <t xml:space="preserve">W4-M3-4</t>
  </si>
  <si>
    <t xml:space="preserve">[W4][M3] Khung template thông báo</t>
  </si>
  <si>
    <t xml:space="preserve">FR-39</t>
  </si>
  <si>
    <t xml:space="preserve">Template có biến thay thế</t>
  </si>
  <si>
    <t xml:space="preserve">,FR-39,</t>
  </si>
  <si>
    <t xml:space="preserve">W4-M3-5</t>
  </si>
  <si>
    <t xml:space="preserve">[W4][M3] Test Notification</t>
  </si>
  <si>
    <t xml:space="preserve">W4-M3-6</t>
  </si>
  <si>
    <t xml:space="preserve">[W4][M3] Tài liệu Notification</t>
  </si>
  <si>
    <t xml:space="preserve">W4-M4-1</t>
  </si>
  <si>
    <t xml:space="preserve">[W4][M4] NiFi flow #1: giả lập camera/clinic ingest → Analysis qua Gateway</t>
  </si>
  <si>
    <t xml:space="preserve">FR-24,NFR-19</t>
  </si>
  <si>
    <t xml:space="preserve">Endpoint ingest (M2+M1, Thứ Tư)</t>
  </si>
  <si>
    <t xml:space="preserve">Thả ảnh vào thư mục/HTTP→xuất hiện phân tích; dùng tài khoản dịch vụ</t>
  </si>
  <si>
    <t xml:space="preserve">W4 M4</t>
  </si>
  <si>
    <t xml:space="preserve">,FR-24,NFR-19,</t>
  </si>
  <si>
    <t xml:space="preserve">W4-M4-2</t>
  </si>
  <si>
    <t xml:space="preserve">[W4][M4] NiFi: back-pressure + nhánh lỗi</t>
  </si>
  <si>
    <t xml:space="preserve">Lỗi vào nhánh failure, không mất ảnh</t>
  </si>
  <si>
    <t xml:space="preserve">W4-M4-3</t>
  </si>
  <si>
    <t xml:space="preserve">[W4][M4] Endpoint nhận/lưu feedback AI</t>
  </si>
  <si>
    <t xml:space="preserve">FR-19</t>
  </si>
  <si>
    <t xml:space="preserve">Lưu feedback gắn với kết quả</t>
  </si>
  <si>
    <t xml:space="preserve">,FR-19,</t>
  </si>
  <si>
    <t xml:space="preserve">W4-M4-4</t>
  </si>
  <si>
    <t xml:space="preserve">[W4][M4] Endpoint batch của AI</t>
  </si>
  <si>
    <t xml:space="preserve">NFR-2</t>
  </si>
  <si>
    <t xml:space="preserve">Nhận danh sách ảnh, trả theo từng ảnh</t>
  </si>
  <si>
    <t xml:space="preserve">,NFR-2,</t>
  </si>
  <si>
    <t xml:space="preserve">W4-M4-5</t>
  </si>
  <si>
    <t xml:space="preserve">[W4][M4] Xuất template NiFi vào Git</t>
  </si>
  <si>
    <t xml:space="preserve">File template trong /infra/nifi</t>
  </si>
  <si>
    <t xml:space="preserve">W4-M4-6</t>
  </si>
  <si>
    <t xml:space="preserve">[W4][M4] Test NiFi flow #1</t>
  </si>
  <si>
    <t xml:space="preserve">Kịch bản test ghi trên Confluence</t>
  </si>
  <si>
    <t xml:space="preserve">W4-M5-1</t>
  </si>
  <si>
    <t xml:space="preserve">[W4][M5] Màn kết quả: annotated + bật/tắt heatmap + risk + khuyến nghị</t>
  </si>
  <si>
    <t xml:space="preserve">FR-3,FR-4,FR-5,NFR-15</t>
  </si>
  <si>
    <t xml:space="preserve">Kết quả + heatmap (M2, M4)</t>
  </si>
  <si>
    <t xml:space="preserve">Hiện ảnh chú thích, bật tắt heatmap, khuyến nghị</t>
  </si>
  <si>
    <t xml:space="preserve">W4 M5</t>
  </si>
  <si>
    <t xml:space="preserve">,FR-3,FR-4,FR-5,NFR-15,</t>
  </si>
  <si>
    <t xml:space="preserve">W4-M5-2</t>
  </si>
  <si>
    <t xml:space="preserve">[W4][M5] Dashboard bác sĩ + lọc bệnh nhân</t>
  </si>
  <si>
    <t xml:space="preserve">FR-13,FR-18</t>
  </si>
  <si>
    <t xml:space="preserve">Lọc theo ID, tên, mức nguy cơ</t>
  </si>
  <si>
    <t xml:space="preserve">,FR-13,FR-18,</t>
  </si>
  <si>
    <t xml:space="preserve">W4-M5-3</t>
  </si>
  <si>
    <t xml:space="preserve">[W4][M5] Màn review + form feedback AI</t>
  </si>
  <si>
    <t xml:space="preserve">FR-14,FR-15,FR-16,FR-19</t>
  </si>
  <si>
    <t xml:space="preserve">API review (M2, T4 Thứ Năm)</t>
  </si>
  <si>
    <t xml:space="preserve">Xác nhận/sửa, ghi chú, gửi feedback</t>
  </si>
  <si>
    <t xml:space="preserve">,FR-14,FR-15,FR-16,FR-19,</t>
  </si>
  <si>
    <t xml:space="preserve">W4-M5-4</t>
  </si>
  <si>
    <t xml:space="preserve">[W4][M5] Lịch sử + biểu đồ xu hướng</t>
  </si>
  <si>
    <t xml:space="preserve">FR-6,FR-17</t>
  </si>
  <si>
    <t xml:space="preserve">Biểu đồ nguy cơ theo thời gian</t>
  </si>
  <si>
    <t xml:space="preserve">,FR-6,FR-17,</t>
  </si>
  <si>
    <t xml:space="preserve">W4-M5-5</t>
  </si>
  <si>
    <t xml:space="preserve">[W4][M5] Nút tải PDF/CSV</t>
  </si>
  <si>
    <t xml:space="preserve">FR-7</t>
  </si>
  <si>
    <t xml:space="preserve">Tải được báo cáo</t>
  </si>
  <si>
    <t xml:space="preserve">,FR-7,</t>
  </si>
  <si>
    <t xml:space="preserve">W4-M5-6</t>
  </si>
  <si>
    <t xml:space="preserve">[W4][M5] Chuông thông báo + service worker FCM</t>
  </si>
  <si>
    <t xml:space="preserve">FCM (M3)</t>
  </si>
  <si>
    <t xml:space="preserve">Push hiện khi AI xong (HTTPS staging)</t>
  </si>
  <si>
    <t xml:space="preserve">W4-M5-7</t>
  </si>
  <si>
    <t xml:space="preserve">[W4][M5] Test giao diện tuần 4</t>
  </si>
  <si>
    <t xml:space="preserve">Không lỗi chặn luồng MVP</t>
  </si>
  <si>
    <t xml:space="preserve">W5-M1-1</t>
  </si>
  <si>
    <t xml:space="preserve">[W5][M1] Mã hóa lưu trữ PII (pgcrypto) + HSTS/TLS cứng hóa</t>
  </si>
  <si>
    <t xml:space="preserve">E11 - Security &amp; Compliance</t>
  </si>
  <si>
    <t xml:space="preserve">Cột PII mã hóa; TLS ≥1.2; điểm SSL Labs ≥A</t>
  </si>
  <si>
    <t xml:space="preserve">Sprint 5 - Chat, Thanh toán, Batch, Bảo mật</t>
  </si>
  <si>
    <t xml:space="preserve">W5 M1</t>
  </si>
  <si>
    <t xml:space="preserve">W5-M1-2</t>
  </si>
  <si>
    <t xml:space="preserve">[W5][M1] Audit log middleware → Mongo</t>
  </si>
  <si>
    <t xml:space="preserve">FR-37,NFR-18</t>
  </si>
  <si>
    <t xml:space="preserve">Mọi thao tác nhạy cảm có log người, hành động, thời gian</t>
  </si>
  <si>
    <t xml:space="preserve">,FR-37,NFR-18,</t>
  </si>
  <si>
    <t xml:space="preserve">W5-M1-3</t>
  </si>
  <si>
    <t xml:space="preserve">[W5][M1] Rà soát RBAC tầng service + checklist pen-test</t>
  </si>
  <si>
    <t xml:space="preserve">NFR-12</t>
  </si>
  <si>
    <t xml:space="preserve">Không service nào tin Gateway mù quáng; checklist đã chạy</t>
  </si>
  <si>
    <t xml:space="preserve">,NFR-12,</t>
  </si>
  <si>
    <t xml:space="preserve">W5-M1-4</t>
  </si>
  <si>
    <t xml:space="preserve">[W5][M1] Cloudinary ảnh private (signed URL) + xóa EXIF/PII</t>
  </si>
  <si>
    <t xml:space="preserve">NFR-9,NFR-10</t>
  </si>
  <si>
    <t xml:space="preserve">Ảnh không truy cập được bằng URL công khai</t>
  </si>
  <si>
    <t xml:space="preserve">,NFR-9,NFR-10,</t>
  </si>
  <si>
    <t xml:space="preserve">W5-M1-5</t>
  </si>
  <si>
    <t xml:space="preserve">[W5][M1] Metrics + health + giám sát uptime</t>
  </si>
  <si>
    <t xml:space="preserve">NFR-4</t>
  </si>
  <si>
    <t xml:space="preserve">Cảnh báo khi service down</t>
  </si>
  <si>
    <t xml:space="preserve">,NFR-4,</t>
  </si>
  <si>
    <t xml:space="preserve">W5-M1-6</t>
  </si>
  <si>
    <t xml:space="preserve">[W5][M1] Backup hằng ngày Postgres+Mongo + tài liệu restore</t>
  </si>
  <si>
    <t xml:space="preserve">NFR-6</t>
  </si>
  <si>
    <t xml:space="preserve">Cron backup chạy; restore thử thành công</t>
  </si>
  <si>
    <t xml:space="preserve">,NFR-6,</t>
  </si>
  <si>
    <t xml:space="preserve">W5-M2-1</t>
  </si>
  <si>
    <t xml:space="preserve">[W5][M2] Batch ≥100 ảnh: tiến độ, lỗi từng phần, parallel</t>
  </si>
  <si>
    <t xml:space="preserve">BatchJob (M1, T3)</t>
  </si>
  <si>
    <t xml:space="preserve">100 ảnh xử lý đủ; ảnh lỗi không chặn ảnh khác</t>
  </si>
  <si>
    <t xml:space="preserve">W5 M2</t>
  </si>
  <si>
    <t xml:space="preserve">W5-M2-2</t>
  </si>
  <si>
    <t xml:space="preserve">[W5][M2] API giám sát clinic + tổng hợp nguy cơ + sử dụng gói</t>
  </si>
  <si>
    <t xml:space="preserve">FR-25,FR-27</t>
  </si>
  <si>
    <t xml:space="preserve">Clinic xem tổng hợp và số ảnh đã phân tích</t>
  </si>
  <si>
    <t xml:space="preserve">,FR-25,FR-27,</t>
  </si>
  <si>
    <t xml:space="preserve">W5-M2-3</t>
  </si>
  <si>
    <t xml:space="preserve">[W5][M2] Sự kiện cảnh báo nguy cơ cao / xu hướng bất thường</t>
  </si>
  <si>
    <t xml:space="preserve">FR-29</t>
  </si>
  <si>
    <t xml:space="preserve">Kết quả nguy cơ cao phát sự kiện</t>
  </si>
  <si>
    <t xml:space="preserve">,FR-29,</t>
  </si>
  <si>
    <t xml:space="preserve">W5-M2-4</t>
  </si>
  <si>
    <t xml:space="preserve">[W5][M2] Test batch + clinic</t>
  </si>
  <si>
    <t xml:space="preserve">Test 100 ảnh trên staging</t>
  </si>
  <si>
    <t xml:space="preserve">W5-M3-1</t>
  </si>
  <si>
    <t xml:space="preserve">[W5][M3] Chat SignalR + lịch sử Mongo</t>
  </si>
  <si>
    <t xml:space="preserve">FR-10,FR-20</t>
  </si>
  <si>
    <t xml:space="preserve">Bác sĩ và bệnh nhân chat thời gian thực, có lịch sử</t>
  </si>
  <si>
    <t xml:space="preserve">W5 M3</t>
  </si>
  <si>
    <t xml:space="preserve">,FR-10,FR-20,</t>
  </si>
  <si>
    <t xml:space="preserve">W5-M3-2</t>
  </si>
  <si>
    <t xml:space="preserve">[W5][M3] VNPay sandbox + callback + idempotency</t>
  </si>
  <si>
    <t xml:space="preserve">FR-11,FR-28</t>
  </si>
  <si>
    <t xml:space="preserve">HTTPS staging (M1, T2)</t>
  </si>
  <si>
    <t xml:space="preserve">Thanh toán sandbox cộng credit; callback lặp không cộng hai lần</t>
  </si>
  <si>
    <t xml:space="preserve">,FR-11,FR-28,</t>
  </si>
  <si>
    <t xml:space="preserve">W5-M3-3</t>
  </si>
  <si>
    <t xml:space="preserve">[W5][M3] Lịch sử thanh toán, gói clinic</t>
  </si>
  <si>
    <t xml:space="preserve">FR-12,FR-28</t>
  </si>
  <si>
    <t xml:space="preserve">Xem lịch sử và credit còn lại</t>
  </si>
  <si>
    <t xml:space="preserve">,FR-12,FR-28,</t>
  </si>
  <si>
    <t xml:space="preserve">W5-M3-4</t>
  </si>
  <si>
    <t xml:space="preserve">[W5][M3] Giao diện chat (user + doctor)</t>
  </si>
  <si>
    <t xml:space="preserve">Chat API (cùng M3)</t>
  </si>
  <si>
    <t xml:space="preserve">Gửi nhận tin nhắn trên web</t>
  </si>
  <si>
    <t xml:space="preserve">W5-M3-5</t>
  </si>
  <si>
    <t xml:space="preserve">[W5][M3] Test Chat + Billing</t>
  </si>
  <si>
    <t xml:space="preserve">W5-M4-1</t>
  </si>
  <si>
    <t xml:space="preserve">[W5][M4] NiFi flow #2: ẩn danh dữ liệu + dataset retraining (xóa EXIF, băm ID)</t>
  </si>
  <si>
    <t xml:space="preserve">FR-19,NFR-11</t>
  </si>
  <si>
    <t xml:space="preserve">Dữ liệu review thật (T4)</t>
  </si>
  <si>
    <t xml:space="preserve">Dataset đầu ra không còn định danh bệnh nhân</t>
  </si>
  <si>
    <t xml:space="preserve">W5 M4</t>
  </si>
  <si>
    <t xml:space="preserve">,FR-19,NFR-11,</t>
  </si>
  <si>
    <t xml:space="preserve">W5-M4-2</t>
  </si>
  <si>
    <t xml:space="preserve">[W5][M4] Scale nhiều worker AI + đo thông lượng</t>
  </si>
  <si>
    <t xml:space="preserve">NFR-2,NFR-7</t>
  </si>
  <si>
    <t xml:space="preserve">Số liệu thông lượng 1/2/4 worker</t>
  </si>
  <si>
    <t xml:space="preserve">,NFR-2,NFR-7,</t>
  </si>
  <si>
    <t xml:space="preserve">W5-M4-3</t>
  </si>
  <si>
    <t xml:space="preserve">[W5][M4] Script retrain từ dữ liệu bác sĩ xác nhận</t>
  </si>
  <si>
    <t xml:space="preserve">Chạy retrain trên dataset ẩn danh, sinh phiên bản model mới</t>
  </si>
  <si>
    <t xml:space="preserve">W5-M4-4</t>
  </si>
  <si>
    <t xml:space="preserve">[W5][M4] Test NiFi #2 và pipeline</t>
  </si>
  <si>
    <t xml:space="preserve">Kiểm tra ẩn danh trên mẫu</t>
  </si>
  <si>
    <t xml:space="preserve">W5-M5-1</t>
  </si>
  <si>
    <t xml:space="preserve">[W5][M5] UI billing: gói, mua, lịch sử, credit</t>
  </si>
  <si>
    <t xml:space="preserve">FR-11,FR-12,FR-28</t>
  </si>
  <si>
    <t xml:space="preserve">VNPay (M3)</t>
  </si>
  <si>
    <t xml:space="preserve">Mua gói và thấy credit tăng</t>
  </si>
  <si>
    <t xml:space="preserve">W5 M5</t>
  </si>
  <si>
    <t xml:space="preserve">,FR-11,FR-12,FR-28,</t>
  </si>
  <si>
    <t xml:space="preserve">W5-M5-2</t>
  </si>
  <si>
    <t xml:space="preserve">[W5][M5] Đăng ký clinic + trạng thái xác minh</t>
  </si>
  <si>
    <t xml:space="preserve">Clinic đăng ký và xem trạng thái duyệt</t>
  </si>
  <si>
    <t xml:space="preserve">W5-M5-3</t>
  </si>
  <si>
    <t xml:space="preserve">[W5][M5] Quản lý tài khoản bác sĩ/bệnh nhân của clinic</t>
  </si>
  <si>
    <t xml:space="preserve">Thêm/sửa/khóa tài khoản</t>
  </si>
  <si>
    <t xml:space="preserve">W5-M5-4</t>
  </si>
  <si>
    <t xml:space="preserve">[W5][M5] Upload hàng loạt + tiến độ</t>
  </si>
  <si>
    <t xml:space="preserve">FR-24,NFR-14</t>
  </si>
  <si>
    <t xml:space="preserve">Batch API (M2, T5 Thứ Tư)</t>
  </si>
  <si>
    <t xml:space="preserve">Upload 100 ảnh thấy tiến độ</t>
  </si>
  <si>
    <t xml:space="preserve">,FR-24,NFR-14,</t>
  </si>
  <si>
    <t xml:space="preserve">W5-M5-5</t>
  </si>
  <si>
    <t xml:space="preserve">[W5][M5] Màn giám sát clinic: báo cáo, nguy cơ tổng hợp, sử dụng gói, cảnh báo</t>
  </si>
  <si>
    <t xml:space="preserve">FR-25,FR-26,FR-27,FR-29</t>
  </si>
  <si>
    <t xml:space="preserve">Thấy tổng hợp và cảnh báo nguy cơ cao</t>
  </si>
  <si>
    <t xml:space="preserve">,FR-25,FR-26,FR-27,FR-29,</t>
  </si>
  <si>
    <t xml:space="preserve">W5-M5-6</t>
  </si>
  <si>
    <t xml:space="preserve">[W5][M5] Test giao diện tuần 5</t>
  </si>
  <si>
    <t xml:space="preserve">Không lỗi chặn luồng clinic</t>
  </si>
  <si>
    <t xml:space="preserve">W6-M1-1</t>
  </si>
  <si>
    <t xml:space="preserve">[W6][M1] Quản lý tài khoản + vai trò + duyệt/đình chỉ clinic (API + UI)</t>
  </si>
  <si>
    <t xml:space="preserve">E10 - Admin &amp; Analytics</t>
  </si>
  <si>
    <t xml:space="preserve">FR-31,FR-32,FR-38</t>
  </si>
  <si>
    <t xml:space="preserve">Admin bật/tắt/sửa tài khoản, đổi vai trò, duyệt clinic</t>
  </si>
  <si>
    <t xml:space="preserve">Sprint 6 - Admin, Analytics, Freeze</t>
  </si>
  <si>
    <t xml:space="preserve">W6 M1</t>
  </si>
  <si>
    <t xml:space="preserve">,FR-31,FR-32,FR-38,</t>
  </si>
  <si>
    <t xml:space="preserve">W6-M1-2</t>
  </si>
  <si>
    <t xml:space="preserve">[W6][M1] Cấu hình AI hot-reload không downtime (API)</t>
  </si>
  <si>
    <t xml:space="preserve">FR-33,NFR-16</t>
  </si>
  <si>
    <t xml:space="preserve">Đổi ngưỡng không cần restart</t>
  </si>
  <si>
    <t xml:space="preserve">,FR-33,NFR-16,</t>
  </si>
  <si>
    <t xml:space="preserve">W6-M1-3</t>
  </si>
  <si>
    <t xml:space="preserve">[W6][M1] Rolling update không downtime</t>
  </si>
  <si>
    <t xml:space="preserve">NFR-16</t>
  </si>
  <si>
    <t xml:space="preserve">Deploy bản mới không làm gián đoạn request</t>
  </si>
  <si>
    <t xml:space="preserve">,NFR-16,</t>
  </si>
  <si>
    <t xml:space="preserve">W6-M1-4</t>
  </si>
  <si>
    <t xml:space="preserve">[W6][M1] Sửa lỗi bảo mật từ checklist</t>
  </si>
  <si>
    <t xml:space="preserve">NFR-9,NFR-12</t>
  </si>
  <si>
    <t xml:space="preserve">Lỗi mức cao đã đóng</t>
  </si>
  <si>
    <t xml:space="preserve">,NFR-9,NFR-12,</t>
  </si>
  <si>
    <t xml:space="preserve">W6-M2-1</t>
  </si>
  <si>
    <t xml:space="preserve">[W6][M2] Thống kê hiệu suất bác sĩ (API + UI)</t>
  </si>
  <si>
    <t xml:space="preserve">FR-21</t>
  </si>
  <si>
    <t xml:space="preserve">Số ca đã duyệt, thời gian duyệt, tỉ lệ sửa kết quả</t>
  </si>
  <si>
    <t xml:space="preserve">W6 M2</t>
  </si>
  <si>
    <t xml:space="preserve">,FR-21,</t>
  </si>
  <si>
    <t xml:space="preserve">W6-M2-2</t>
  </si>
  <si>
    <t xml:space="preserve">[W6][M2] Báo cáo clinic + xuất thống kê nghiên cứu</t>
  </si>
  <si>
    <t xml:space="preserve">FR-26,FR-30</t>
  </si>
  <si>
    <t xml:space="preserve">Xuất CSV thống kê tổng hợp</t>
  </si>
  <si>
    <t xml:space="preserve">,FR-26,FR-30,</t>
  </si>
  <si>
    <t xml:space="preserve">W6-M2-3</t>
  </si>
  <si>
    <t xml:space="preserve">[W6][M2] Sửa lỗi tích hợp tuần 3–5</t>
  </si>
  <si>
    <t xml:space="preserve">Danh sách lỗi tích hợp đã đóng</t>
  </si>
  <si>
    <t xml:space="preserve">W6-M2-4</t>
  </si>
  <si>
    <t xml:space="preserve">[W6][M2] Detail Design (class/sequence từng service)</t>
  </si>
  <si>
    <t xml:space="preserve">Đủ cho Analysis, Identity</t>
  </si>
  <si>
    <t xml:space="preserve">W6-M3-1</t>
  </si>
  <si>
    <t xml:space="preserve">[W6][M3] Quản lý gói/giá/billing model</t>
  </si>
  <si>
    <t xml:space="preserve">FR-34</t>
  </si>
  <si>
    <t xml:space="preserve">Admin tạo/sửa gói</t>
  </si>
  <si>
    <t xml:space="preserve">W6 M3</t>
  </si>
  <si>
    <t xml:space="preserve">,FR-34,</t>
  </si>
  <si>
    <t xml:space="preserve">W6-M3-2</t>
  </si>
  <si>
    <t xml:space="preserve">[W6][M3] Template thông báo + chính sách</t>
  </si>
  <si>
    <t xml:space="preserve">Admin sửa template, áp dụng khi gửi</t>
  </si>
  <si>
    <t xml:space="preserve">W6-M3-3</t>
  </si>
  <si>
    <t xml:space="preserve">[W6][M3] analytics-svc: ingest từ NiFi + API dashboard</t>
  </si>
  <si>
    <t xml:space="preserve">FR-35,FR-36</t>
  </si>
  <si>
    <t xml:space="preserve">Schema đích (thống nhất Thứ Hai); NiFi #3 (M4, Thứ Tư)</t>
  </si>
  <si>
    <t xml:space="preserve">API trả số ảnh, phân bố nguy cơ, tỉ lệ lỗi, doanh thu</t>
  </si>
  <si>
    <t xml:space="preserve">,FR-35,FR-36,</t>
  </si>
  <si>
    <t xml:space="preserve">W6-M3-4</t>
  </si>
  <si>
    <t xml:space="preserve">[W6][M3] Cài đặt tuân thủ/riêng tư + API xem audit</t>
  </si>
  <si>
    <t xml:space="preserve">FR-37,NFR-10</t>
  </si>
  <si>
    <t xml:space="preserve">Audit log (M1, T5)</t>
  </si>
  <si>
    <t xml:space="preserve">Xem và lọc audit log</t>
  </si>
  <si>
    <t xml:space="preserve">,FR-37,NFR-10,</t>
  </si>
  <si>
    <t xml:space="preserve">W6-M3-5</t>
  </si>
  <si>
    <t xml:space="preserve">[W6][M3] UI form gói/giá và template thông báo</t>
  </si>
  <si>
    <t xml:space="preserve">FR-34,FR-39</t>
  </si>
  <si>
    <t xml:space="preserve">Admin thao tác trên web</t>
  </si>
  <si>
    <t xml:space="preserve">,FR-34,FR-39,</t>
  </si>
  <si>
    <t xml:space="preserve">W6-M3-6</t>
  </si>
  <si>
    <t xml:space="preserve">[W6][M3] Test analytics + billing admin</t>
  </si>
  <si>
    <t xml:space="preserve">W6-M4-1</t>
  </si>
  <si>
    <t xml:space="preserve">[W6][M4] NiFi flow #3: ETL → analytics-svc</t>
  </si>
  <si>
    <t xml:space="preserve">Schema đích (M3, Thứ Hai)</t>
  </si>
  <si>
    <t xml:space="preserve">Dữ liệu tự chảy vào analytics; dashboard có số thật</t>
  </si>
  <si>
    <t xml:space="preserve">W6 M4</t>
  </si>
  <si>
    <t xml:space="preserve">W6-M4-2</t>
  </si>
  <si>
    <t xml:space="preserve">[W6][M4] Báo cáo đánh giá AI</t>
  </si>
  <si>
    <t xml:space="preserve">Accuracy/AUC/thời gian trên tập kiểm thử, nêu rõ giới hạn</t>
  </si>
  <si>
    <t xml:space="preserve">W6-M4-3</t>
  </si>
  <si>
    <t xml:space="preserve">[W6][M4] Hot-swap model + rollback phiên bản</t>
  </si>
  <si>
    <t xml:space="preserve">NFR-16,NFR-23</t>
  </si>
  <si>
    <t xml:space="preserve">Đổi và quay lại phiên bản không downtime</t>
  </si>
  <si>
    <t xml:space="preserve">,NFR-16,NFR-23,</t>
  </si>
  <si>
    <t xml:space="preserve">W6-M4-4</t>
  </si>
  <si>
    <t xml:space="preserve">[W6][M4] Load test AI</t>
  </si>
  <si>
    <t xml:space="preserve">NFR-1,NFR-2</t>
  </si>
  <si>
    <t xml:space="preserve">Báo cáo thông lượng và độ trễ</t>
  </si>
  <si>
    <t xml:space="preserve">,NFR-1,NFR-2,</t>
  </si>
  <si>
    <t xml:space="preserve">W6-M4-5</t>
  </si>
  <si>
    <t xml:space="preserve">[W6][M4] Tài liệu AI/NiFi</t>
  </si>
  <si>
    <t xml:space="preserve">Trang Confluence</t>
  </si>
  <si>
    <t xml:space="preserve">W6-M4-6</t>
  </si>
  <si>
    <t xml:space="preserve">[W6][M4] Chính sách retrain (lịch, ngưỡng tối thiểu feedback) trong cấu hình</t>
  </si>
  <si>
    <t xml:space="preserve">FR-33</t>
  </si>
  <si>
    <t xml:space="preserve">Chính sách đọc từ cấu hình</t>
  </si>
  <si>
    <t xml:space="preserve">,FR-33,</t>
  </si>
  <si>
    <t xml:space="preserve">W6-M5-1</t>
  </si>
  <si>
    <t xml:space="preserve">[W6][M5] Admin dashboard biểu đồ</t>
  </si>
  <si>
    <t xml:space="preserve">analytics API (M3, Thứ Tư)</t>
  </si>
  <si>
    <t xml:space="preserve">Biểu đồ số liệu thật</t>
  </si>
  <si>
    <t xml:space="preserve">W6 M5</t>
  </si>
  <si>
    <t xml:space="preserve">W6-M5-2</t>
  </si>
  <si>
    <t xml:space="preserve">[W6][M5] UI cấu hình AI + chính sách retrain</t>
  </si>
  <si>
    <t xml:space="preserve">API cấu hình AI (M1)</t>
  </si>
  <si>
    <t xml:space="preserve">Sửa ngưỡng và chính sách trên web</t>
  </si>
  <si>
    <t xml:space="preserve">W6-M5-3</t>
  </si>
  <si>
    <t xml:space="preserve">[W6][M5] UI xem audit log</t>
  </si>
  <si>
    <t xml:space="preserve">FR-37</t>
  </si>
  <si>
    <t xml:space="preserve">Lọc và xem log</t>
  </si>
  <si>
    <t xml:space="preserve">,FR-37,</t>
  </si>
  <si>
    <t xml:space="preserve">W6-M5-4</t>
  </si>
  <si>
    <t xml:space="preserve">[W6][M5] Responsive desktop/tablet/mobile + a11y</t>
  </si>
  <si>
    <t xml:space="preserve">Kiểm tra 3 kích thước; không vỡ bố cục</t>
  </si>
  <si>
    <t xml:space="preserve">W6-M5-5</t>
  </si>
  <si>
    <t xml:space="preserve">[W6][M5] Kiểm tra quy tắc ≤3 click</t>
  </si>
  <si>
    <t xml:space="preserve">NFR-14</t>
  </si>
  <si>
    <t xml:space="preserve">Upload và xem kết quả ≤3 click</t>
  </si>
  <si>
    <t xml:space="preserve">,NFR-14,</t>
  </si>
  <si>
    <t xml:space="preserve">W6-M5-6</t>
  </si>
  <si>
    <t xml:space="preserve">[W6][M5] Sửa lỗi UI tích hợp</t>
  </si>
  <si>
    <t xml:space="preserve">Danh sách lỗi đã đóng</t>
  </si>
  <si>
    <t xml:space="preserve">W6-M5-7</t>
  </si>
  <si>
    <t xml:space="preserve">[W6][M5] Test giao diện admin</t>
  </si>
  <si>
    <t xml:space="preserve">Không lỗi chặn</t>
  </si>
  <si>
    <t xml:space="preserve">W7-M1-1</t>
  </si>
  <si>
    <t xml:space="preserve">[W7][M1] Deploy production</t>
  </si>
  <si>
    <t xml:space="preserve">Feature freeze (T6)</t>
  </si>
  <si>
    <t xml:space="preserve">Production chạy tag v1.0-rc</t>
  </si>
  <si>
    <t xml:space="preserve">Sprint 7 - Test, Hiệu năng, Production</t>
  </si>
  <si>
    <t xml:space="preserve">W7 M1</t>
  </si>
  <si>
    <t xml:space="preserve">[W7][M1] Test hiệu năng k6 (NFR-1, 2, 3, 8)</t>
  </si>
  <si>
    <t xml:space="preserve">NFR-1,NFR-2,NFR-3,NFR-8</t>
  </si>
  <si>
    <t xml:space="preserve">Số liệu đạt hoặc có giải trình: ≤20s/ảnh, 100 ảnh/batch, &lt;3s tải, nhiều người dùng song song</t>
  </si>
  <si>
    <t xml:space="preserve">,NFR-1,NFR-2,NFR-3,NFR-8,</t>
  </si>
  <si>
    <t xml:space="preserve">W7-M1-3</t>
  </si>
  <si>
    <t xml:space="preserve">[W7][M1] Quét bảo mật Trivy, OWASP ZAP</t>
  </si>
  <si>
    <t xml:space="preserve">Không lỗ hổng Critical/High</t>
  </si>
  <si>
    <t xml:space="preserve">W7-M1-4</t>
  </si>
  <si>
    <t xml:space="preserve">[W7][M1] Diễn tập backup/restore + kiểm tra uptime</t>
  </si>
  <si>
    <t xml:space="preserve">NFR-4,NFR-6</t>
  </si>
  <si>
    <t xml:space="preserve">Restore thành công; uptime ghi nhận</t>
  </si>
  <si>
    <t xml:space="preserve">,NFR-4,NFR-6,</t>
  </si>
  <si>
    <t xml:space="preserve">W7-M1-5</t>
  </si>
  <si>
    <t xml:space="preserve">[W7][M1] Installation Guide bản nháp</t>
  </si>
  <si>
    <t xml:space="preserve">Hướng dẫn cài từ đầu</t>
  </si>
  <si>
    <t xml:space="preserve">W7-M2-1</t>
  </si>
  <si>
    <t xml:space="preserve">[W7][M2] Integration + contract test giữa các service</t>
  </si>
  <si>
    <t xml:space="preserve">Test chạy trên CI</t>
  </si>
  <si>
    <t xml:space="preserve">W7 M2</t>
  </si>
  <si>
    <t xml:space="preserve">W7-M2-2</t>
  </si>
  <si>
    <t xml:space="preserve">[W7][M2] Sửa lỗi Analysis/Identity</t>
  </si>
  <si>
    <t xml:space="preserve">Lỗi Critical/High đã đóng</t>
  </si>
  <si>
    <t xml:space="preserve">W7-M2-3</t>
  </si>
  <si>
    <t xml:space="preserve">[W7][M2] Detail Design: class/sequence từng service</t>
  </si>
  <si>
    <t xml:space="preserve">Đủ mọi service</t>
  </si>
  <si>
    <t xml:space="preserve">W7-M2-4</t>
  </si>
  <si>
    <t xml:space="preserve">[W7][M2] Hoàn thiện Architecture</t>
  </si>
  <si>
    <t xml:space="preserve">Khớp hệ thống thật</t>
  </si>
  <si>
    <t xml:space="preserve">W7-M3-1</t>
  </si>
  <si>
    <t xml:space="preserve">[W7][M3] Test Plan bản cuối</t>
  </si>
  <si>
    <t xml:space="preserve">Duyệt bởi nhóm</t>
  </si>
  <si>
    <t xml:space="preserve">W7 M3</t>
  </si>
  <si>
    <t xml:space="preserve">W7-M3-2</t>
  </si>
  <si>
    <t xml:space="preserve">[W7][M3] ~120 test case và thực thi</t>
  </si>
  <si>
    <t xml:space="preserve">FR-1:39</t>
  </si>
  <si>
    <t xml:space="preserve">Mỗi FR có ≥1 test case; kết quả pass/fail ghi lại</t>
  </si>
  <si>
    <t xml:space="preserve">,FR-1,FR-2,FR-3,FR-4,FR-5,FR-6,FR-7,FR-8,FR-9,FR-10,FR-11,FR-12,FR-13,FR-14,FR-15,FR-16,FR-17,FR-18,FR-19,FR-20,FR-21,FR-22,FR-23,FR-24,FR-25,FR-26,FR-27,FR-28,FR-29,FR-30,FR-31,FR-32,FR-33,FR-34,FR-35,FR-36,FR-37,FR-38,FR-39,</t>
  </si>
  <si>
    <t xml:space="preserve">W7-M3-3</t>
  </si>
  <si>
    <t xml:space="preserve">[W7][M3] Kịch bản UAT</t>
  </si>
  <si>
    <t xml:space="preserve">3 kịch bản demo chạy trơn</t>
  </si>
  <si>
    <t xml:space="preserve">W7-M3-4</t>
  </si>
  <si>
    <t xml:space="preserve">[W7][M3] Phân loại bug</t>
  </si>
  <si>
    <t xml:space="preserve">Mọi bug có mức độ và người xử lý</t>
  </si>
  <si>
    <t xml:space="preserve">W7-M3-5</t>
  </si>
  <si>
    <t xml:space="preserve">[W7][M3] Regression</t>
  </si>
  <si>
    <t xml:space="preserve">Không lỗi tái phát</t>
  </si>
  <si>
    <t xml:space="preserve">W7-M4-1</t>
  </si>
  <si>
    <t xml:space="preserve">[W7][M4] Kiểm thử AI lỗi/chaos</t>
  </si>
  <si>
    <t xml:space="preserve">AI sập→trả lỗi rõ, ảnh không mất</t>
  </si>
  <si>
    <t xml:space="preserve">W7 M4</t>
  </si>
  <si>
    <t xml:space="preserve">W7-M4-2</t>
  </si>
  <si>
    <t xml:space="preserve">[W7][M4] Model card (giới hạn, heuristic)</t>
  </si>
  <si>
    <t xml:space="preserve">NFR-22,NFR-23</t>
  </si>
  <si>
    <t xml:space="preserve">Nêu rõ dữ liệu, giới hạn, không dùng thay chẩn đoán</t>
  </si>
  <si>
    <t xml:space="preserve">,NFR-22,NFR-23,</t>
  </si>
  <si>
    <t xml:space="preserve">W7-M4-3</t>
  </si>
  <si>
    <t xml:space="preserve">[W7][M4] Runbook NiFi</t>
  </si>
  <si>
    <t xml:space="preserve">Người khác vận hành được</t>
  </si>
  <si>
    <t xml:space="preserve">W7-M4-4</t>
  </si>
  <si>
    <t xml:space="preserve">[W7][M4] Sửa lỗi AI/NiFi</t>
  </si>
  <si>
    <t xml:space="preserve">W7-M4-5</t>
  </si>
  <si>
    <t xml:space="preserve">[W7][M4] Tài liệu AI</t>
  </si>
  <si>
    <t xml:space="preserve">Hoàn chỉnh</t>
  </si>
  <si>
    <t xml:space="preserve">W7-M5-1</t>
  </si>
  <si>
    <t xml:space="preserve">[W7][M5] E2E Playwright</t>
  </si>
  <si>
    <t xml:space="preserve">Luồng Patient, Doctor, Clinic, Admin chạy tự động</t>
  </si>
  <si>
    <t xml:space="preserve">W7 M5</t>
  </si>
  <si>
    <t xml:space="preserve">W7-M5-2</t>
  </si>
  <si>
    <t xml:space="preserve">[W7][M5] Hoàn thiện UI, sửa lỗi</t>
  </si>
  <si>
    <t xml:space="preserve">Lỗi giao diện đã đóng</t>
  </si>
  <si>
    <t xml:space="preserve">W7-M5-3</t>
  </si>
  <si>
    <t xml:space="preserve">[W7][M5] User Manual có ảnh chụp</t>
  </si>
  <si>
    <t xml:space="preserve">Đủ 4 vai trò</t>
  </si>
  <si>
    <t xml:space="preserve">W7-M5-4</t>
  </si>
  <si>
    <t xml:space="preserve">[W7][M5] Tối ưu hiệu năng frontend</t>
  </si>
  <si>
    <t xml:space="preserve">NFR-3</t>
  </si>
  <si>
    <t xml:space="preserve">Tải &lt;3 giây</t>
  </si>
  <si>
    <t xml:space="preserve">,NFR-3,</t>
  </si>
  <si>
    <t xml:space="preserve">W8-M1-1</t>
  </si>
  <si>
    <t xml:space="preserve">[W8][M1] Sửa bug Critical còn lại</t>
  </si>
  <si>
    <t xml:space="preserve">Không còn bug Critical/High</t>
  </si>
  <si>
    <t xml:space="preserve">Sprint 8 - Ổn định, Tài liệu, Bảo vệ</t>
  </si>
  <si>
    <t xml:space="preserve">W8 M1</t>
  </si>
  <si>
    <t xml:space="preserve">W8-M1-2</t>
  </si>
  <si>
    <t xml:space="preserve">[W8][M1] Deploy cuối, gắn tag v1.0.0, đóng gói release</t>
  </si>
  <si>
    <t xml:space="preserve">Tag, gói Docker, README</t>
  </si>
  <si>
    <t xml:space="preserve">W8-M1-3</t>
  </si>
  <si>
    <t xml:space="preserve">[W8][M1] Kiểm chứng Installation Guide trên VM sạch</t>
  </si>
  <si>
    <t xml:space="preserve">Người khác cài thành công</t>
  </si>
  <si>
    <t xml:space="preserve">W8-M1-4</t>
  </si>
  <si>
    <t xml:space="preserve">[W8][M1] Chuẩn bị vấn đáp hạ tầng/kiến trúc</t>
  </si>
  <si>
    <t xml:space="preserve">Trả lời được toàn hệ thống</t>
  </si>
  <si>
    <t xml:space="preserve">W8-M1-5</t>
  </si>
  <si>
    <t xml:space="preserve">[W8][M1] Kiểm tra Confluence</t>
  </si>
  <si>
    <t xml:space="preserve">Đủ tài liệu bắt buộc</t>
  </si>
  <si>
    <t xml:space="preserve">W8-M1-6</t>
  </si>
  <si>
    <t xml:space="preserve">[W8][M1] Đóng băng môi trường demo</t>
  </si>
  <si>
    <t xml:space="preserve">Môi trường demo ổn định</t>
  </si>
  <si>
    <t xml:space="preserve">W8-M2-1</t>
  </si>
  <si>
    <t xml:space="preserve">[W8][M2] Bug Analysis/Identity</t>
  </si>
  <si>
    <t xml:space="preserve">Đóng bug được giao</t>
  </si>
  <si>
    <t xml:space="preserve">W8 M2</t>
  </si>
  <si>
    <t xml:space="preserve">W8-M2-2</t>
  </si>
  <si>
    <t xml:space="preserve">[W8][M2] SRS bản cuối + cập nhật ma trận truy vết</t>
  </si>
  <si>
    <t xml:space="preserve">SRS khớp hệ thống</t>
  </si>
  <si>
    <t xml:space="preserve">W8-M2-3</t>
  </si>
  <si>
    <t xml:space="preserve">[W8][M2] Detail Design bản cuối</t>
  </si>
  <si>
    <t xml:space="preserve">Khớp mã nguồn</t>
  </si>
  <si>
    <t xml:space="preserve">W8-M2-4</t>
  </si>
  <si>
    <t xml:space="preserve">[W8][M2] Chuẩn bị vấn đáp nghiệp vụ/OOP</t>
  </si>
  <si>
    <t xml:space="preserve">Giải thích được pattern đã dùng</t>
  </si>
  <si>
    <t xml:space="preserve">W8-M2-5</t>
  </si>
  <si>
    <t xml:space="preserve">[W8][M2] Demo kịch bản chính</t>
  </si>
  <si>
    <t xml:space="preserve">Chạy trơn 3 lần</t>
  </si>
  <si>
    <t xml:space="preserve">W8-M3-1</t>
  </si>
  <si>
    <t xml:space="preserve">[W8][M3] Test Document bản cuối</t>
  </si>
  <si>
    <t xml:space="preserve">Kết quả test đầy đủ</t>
  </si>
  <si>
    <t xml:space="preserve">W8 M3</t>
  </si>
  <si>
    <t xml:space="preserve">W8-M3-2</t>
  </si>
  <si>
    <t xml:space="preserve">[W8][M3] Regression cuối</t>
  </si>
  <si>
    <t xml:space="preserve">Toàn bộ test case pass hoặc có giải trình</t>
  </si>
  <si>
    <t xml:space="preserve">W8-M3-3</t>
  </si>
  <si>
    <t xml:space="preserve">[W8][M3] Bug Billing/Notification</t>
  </si>
  <si>
    <t xml:space="preserve">W8-M3-4</t>
  </si>
  <si>
    <t xml:space="preserve">[W8][M3] Rà soát chéo toàn bộ tài liệu</t>
  </si>
  <si>
    <t xml:space="preserve">Không sai khác giữa tài liệu và hệ thống</t>
  </si>
  <si>
    <t xml:space="preserve">W8-M3-5</t>
  </si>
  <si>
    <t xml:space="preserve">[W8][M3] Bộ câu hỏi vấn đáp</t>
  </si>
  <si>
    <t xml:space="preserve">≥50 câu hỏi kèm đáp án</t>
  </si>
  <si>
    <t xml:space="preserve">W8-M4-1</t>
  </si>
  <si>
    <t xml:space="preserve">[W8][M4] Bug AI/NiFi</t>
  </si>
  <si>
    <t xml:space="preserve">W8 M4</t>
  </si>
  <si>
    <t xml:space="preserve">W8-M4-2</t>
  </si>
  <si>
    <t xml:space="preserve">[W8][M4] Hoàn thiện báo cáo đánh giá AI</t>
  </si>
  <si>
    <t xml:space="preserve">Báo cáo cuối</t>
  </si>
  <si>
    <t xml:space="preserve">W8-M4-3</t>
  </si>
  <si>
    <t xml:space="preserve">[W8][M4] Phương án demo AI ổn định (mock dự phòng)</t>
  </si>
  <si>
    <t xml:space="preserve">Chuyển mock bằng một biến môi trường</t>
  </si>
  <si>
    <t xml:space="preserve">W8-M4-4</t>
  </si>
  <si>
    <t xml:space="preserve">[W8][M4] Chuẩn bị vấn đáp AI/NiFi</t>
  </si>
  <si>
    <t xml:space="preserve">Giải thích được pipeline</t>
  </si>
  <si>
    <t xml:space="preserve">W8-M4-5</t>
  </si>
  <si>
    <t xml:space="preserve">[W8][M4] Video demo dự phòng</t>
  </si>
  <si>
    <t xml:space="preserve">Video quay đủ luồng chính</t>
  </si>
  <si>
    <t xml:space="preserve">W8-M5-1</t>
  </si>
  <si>
    <t xml:space="preserve">[W8][M5] Sửa UI bug cuối</t>
  </si>
  <si>
    <t xml:space="preserve">W8 M5</t>
  </si>
  <si>
    <t xml:space="preserve">W8-M5-2</t>
  </si>
  <si>
    <t xml:space="preserve">[W8][M5] User Manual bản cuối</t>
  </si>
  <si>
    <t xml:space="preserve">Khớp giao diện thật</t>
  </si>
  <si>
    <t xml:space="preserve">W8-M5-3</t>
  </si>
  <si>
    <t xml:space="preserve">[W8][M5] Slide + kịch bản demo</t>
  </si>
  <si>
    <t xml:space="preserve">Slide và kịch bản đã luyện</t>
  </si>
  <si>
    <t xml:space="preserve">W8-M5-4</t>
  </si>
  <si>
    <t xml:space="preserve">[W8][M5] Chuẩn bị vấn đáp frontend</t>
  </si>
  <si>
    <t xml:space="preserve">Giải thích được kiến trúc web</t>
  </si>
  <si>
    <t xml:space="preserve">W8-M5-5</t>
  </si>
  <si>
    <t xml:space="preserve">[W8][M5] Kiểm tra giao diện trên 3 thiết bị</t>
  </si>
  <si>
    <t xml:space="preserve">Desktop, tablet, mobile đều ổn</t>
  </si>
  <si>
    <t xml:space="preserve">TỔNG GIỜ THEO NGƯỜI VÀ TUẦN (tính bằng công thức từ sheet 'Task 8 tuần')</t>
  </si>
  <si>
    <t xml:space="preserve">Mục tiêu giờ/người/tuần</t>
  </si>
  <si>
    <t xml:space="preserve">(yêu cầu tối thiểu 400 giờ/người; 52×8 = 416)</t>
  </si>
  <si>
    <t xml:space="preserve">Tuần 1</t>
  </si>
  <si>
    <t xml:space="preserve">Tuần 2</t>
  </si>
  <si>
    <t xml:space="preserve">Tuần 3</t>
  </si>
  <si>
    <t xml:space="preserve">Tuần 4</t>
  </si>
  <si>
    <t xml:space="preserve">Tuần 5</t>
  </si>
  <si>
    <t xml:space="preserve">Tuần 6</t>
  </si>
  <si>
    <t xml:space="preserve">Tuần 7</t>
  </si>
  <si>
    <t xml:space="preserve">Tuần 8</t>
  </si>
  <si>
    <t xml:space="preserve">Tổng</t>
  </si>
  <si>
    <t xml:space="preserve">Đạt ≥400h?</t>
  </si>
  <si>
    <t xml:space="preserve">Mọi tuần = mục tiêu?</t>
  </si>
  <si>
    <t xml:space="preserve">Cả nhóm</t>
  </si>
  <si>
    <t xml:space="preserve">Số task mỗi tuần</t>
  </si>
  <si>
    <t xml:space="preserve">MA TRẬN PHỦ YÊU CẦU: mỗi FR/NFR phải có ít nhất một task</t>
  </si>
  <si>
    <t xml:space="preserve">Cột 'Số task' dùng công thức đếm trên cột tham chiếu; cột 'Task phụ trách' là danh sách ID (sinh từ dữ liệu kế hoạch).</t>
  </si>
  <si>
    <t xml:space="preserve">Yêu cầu</t>
  </si>
  <si>
    <t xml:space="preserve">Nhóm</t>
  </si>
  <si>
    <t xml:space="preserve">Số task</t>
  </si>
  <si>
    <t xml:space="preserve">Trạng thái</t>
  </si>
  <si>
    <t xml:space="preserve">Task phụ trách</t>
  </si>
  <si>
    <t xml:space="preserve">Chức năng</t>
  </si>
  <si>
    <t xml:space="preserve">W1-M2-2, W1-M5-2, W2-M2-1, W2-M2-2, W2-M2-4, W2-M5-1, W2-M5-2, W7-M3-2</t>
  </si>
  <si>
    <t xml:space="preserve">W1-M2-2, W1-M5-2, W2-M5-1, W3-M2-2, W3-M5-1, W7-M3-2</t>
  </si>
  <si>
    <t xml:space="preserve">W1-M2-2, W1-M4-2, W1-M5-2, W2-M4-1, W2-M5-1, W3-M4-2, W3-M5-3, W3-M5-4, W4-M5-1, W7-M3-2</t>
  </si>
  <si>
    <t xml:space="preserve">FR-4</t>
  </si>
  <si>
    <t xml:space="preserve">W1-M2-2, W1-M5-2, W2-M5-1, W3-M4-1, W4-M5-1, W7-M3-2</t>
  </si>
  <si>
    <t xml:space="preserve">W1-M2-2, W1-M5-2, W2-M5-1, W3-M4-2, W4-M2-3, W4-M5-1, W7-M3-2</t>
  </si>
  <si>
    <t xml:space="preserve">W1-M2-2, W1-M5-2, W2-M5-1, W3-M5-2, W4-M2-2, W4-M5-4, W7-M3-2</t>
  </si>
  <si>
    <t xml:space="preserve">W1-M2-2, W1-M5-2, W2-M5-1, W4-M1-1, W4-M5-5, W7-M3-2</t>
  </si>
  <si>
    <t xml:space="preserve">W1-M2-2, W1-M5-2, W2-M3-1, W2-M5-1, W2-M5-5, W7-M3-2</t>
  </si>
  <si>
    <t xml:space="preserve">W1-M2-2, W1-M5-2, W2-M5-1, W3-M5-5, W4-M3-1, W4-M3-2, W4-M3-3, W4-M5-6, W7-M3-2</t>
  </si>
  <si>
    <t xml:space="preserve">FR-10</t>
  </si>
  <si>
    <t xml:space="preserve">W1-M2-2, W1-M5-2, W2-M5-1, W5-M3-1, W5-M3-4, W7-M3-2</t>
  </si>
  <si>
    <t xml:space="preserve">W1-M2-2, W1-M5-2, W2-M5-1, W3-M2-5, W3-M3-1, W3-M3-2, W3-M3-4, W5-M3-2, W5-M5-1, W7-M3-2</t>
  </si>
  <si>
    <t xml:space="preserve">W1-M2-2, W1-M5-2, W2-M5-1, W3-M3-1, W3-M3-3, W5-M3-3, W5-M5-1, W7-M3-2</t>
  </si>
  <si>
    <t xml:space="preserve">W1-M2-2, W1-M5-2, W2-M3-4, W2-M5-1, W4-M2-1, W4-M5-2, W7-M3-2</t>
  </si>
  <si>
    <t xml:space="preserve">FR-14</t>
  </si>
  <si>
    <t xml:space="preserve">W1-M2-2, W1-M5-2, W2-M5-1, W4-M2-1, W4-M5-3, W7-M3-2</t>
  </si>
  <si>
    <t xml:space="preserve">FR-15</t>
  </si>
  <si>
    <t xml:space="preserve">FR-16</t>
  </si>
  <si>
    <t xml:space="preserve">FR-17</t>
  </si>
  <si>
    <t xml:space="preserve">W1-M2-2, W1-M5-2, W2-M5-1, W4-M2-2, W4-M5-4, W7-M3-2</t>
  </si>
  <si>
    <t xml:space="preserve">FR-18</t>
  </si>
  <si>
    <t xml:space="preserve">W1-M2-2, W1-M5-2, W2-M5-1, W4-M2-2, W4-M5-2, W7-M3-2</t>
  </si>
  <si>
    <t xml:space="preserve">W1-M2-2, W1-M5-2, W2-M5-1, W4-M4-3, W4-M5-3, W5-M4-1, W5-M4-3, W7-M3-2</t>
  </si>
  <si>
    <t xml:space="preserve">FR-20</t>
  </si>
  <si>
    <t xml:space="preserve">W1-M2-2, W1-M5-2, W2-M5-1, W6-M2-1, W7-M3-2</t>
  </si>
  <si>
    <t xml:space="preserve">W1-M3-2, W1-M5-3, W2-M3-2, W5-M5-2, W7-M3-2</t>
  </si>
  <si>
    <t xml:space="preserve">W1-M3-2, W1-M5-3, W2-M3-3, W5-M5-3, W7-M3-2</t>
  </si>
  <si>
    <t xml:space="preserve">W1-M2-4, W1-M3-2, W1-M5-3, W3-M1-3, W4-M4-1, W5-M2-1, W5-M5-4, W7-M3-2</t>
  </si>
  <si>
    <t xml:space="preserve">FR-25</t>
  </si>
  <si>
    <t xml:space="preserve">W1-M3-2, W1-M5-3, W5-M2-2, W5-M5-5, W7-M3-2</t>
  </si>
  <si>
    <t xml:space="preserve">FR-26</t>
  </si>
  <si>
    <t xml:space="preserve">W1-M3-2, W1-M5-3, W5-M5-5, W6-M2-2, W7-M3-2</t>
  </si>
  <si>
    <t xml:space="preserve">FR-27</t>
  </si>
  <si>
    <t xml:space="preserve">FR-28</t>
  </si>
  <si>
    <t xml:space="preserve">W1-M3-2, W1-M5-3, W5-M3-2, W5-M3-3, W5-M5-1, W7-M3-2</t>
  </si>
  <si>
    <t xml:space="preserve">W1-M3-2, W1-M5-3, W5-M2-3, W5-M5-5, W7-M3-2</t>
  </si>
  <si>
    <t xml:space="preserve">W1-M3-1, W1-M3-2, W1-M5-3, W6-M2-2, W7-M3-2</t>
  </si>
  <si>
    <t xml:space="preserve">FR-31</t>
  </si>
  <si>
    <t xml:space="preserve">W1-M3-2, W1-M5-3, W6-M1-1, W7-M3-2</t>
  </si>
  <si>
    <t xml:space="preserve">FR-32</t>
  </si>
  <si>
    <t xml:space="preserve">W1-M3-2, W1-M5-3, W2-M2-3, W6-M1-1, W7-M3-2</t>
  </si>
  <si>
    <t xml:space="preserve">W1-M3-2, W1-M5-3, W6-M1-2, W6-M4-6, W6-M5-2, W7-M3-2</t>
  </si>
  <si>
    <t xml:space="preserve">W1-M3-2, W1-M5-3, W6-M3-1, W6-M3-5, W7-M3-2</t>
  </si>
  <si>
    <t xml:space="preserve">FR-35</t>
  </si>
  <si>
    <t xml:space="preserve">W1-M3-2, W1-M5-3, W6-M3-3, W6-M4-1, W6-M5-1, W7-M3-2</t>
  </si>
  <si>
    <t xml:space="preserve">FR-36</t>
  </si>
  <si>
    <t xml:space="preserve">W1-M3-2, W1-M5-3, W5-M1-2, W6-M3-4, W6-M5-3, W7-M3-2</t>
  </si>
  <si>
    <t xml:space="preserve">FR-38</t>
  </si>
  <si>
    <t xml:space="preserve">W1-M3-2, W1-M5-3, W4-M3-4, W6-M3-2, W6-M3-5, W7-M3-2</t>
  </si>
  <si>
    <t xml:space="preserve">Phi chức năng</t>
  </si>
  <si>
    <t xml:space="preserve">W1-M3-4, W1-M4-6, W2-M4-5, W3-M4-4, W6-M4-4, W7-M1-2</t>
  </si>
  <si>
    <t xml:space="preserve">W1-M3-4, W3-M1-1, W3-M1-3, W4-M4-4, W5-M2-1, W5-M4-2, W6-M4-4, W7-M1-2</t>
  </si>
  <si>
    <t xml:space="preserve">W1-M3-4, W7-M1-2, W7-M5-4</t>
  </si>
  <si>
    <t xml:space="preserve">W1-M3-4, W5-M1-5, W7-M1-1, W7-M1-4</t>
  </si>
  <si>
    <t xml:space="preserve">W1-M3-4, W3-M1-1, W3-M1-4, W3-M2-3, W4-M4-2, W7-M4-1</t>
  </si>
  <si>
    <t xml:space="preserve">W1-M3-4, W5-M1-6, W7-M1-4</t>
  </si>
  <si>
    <t xml:space="preserve">W1-M1-4, W1-M1-5, W1-M3-4, W3-M1-1, W5-M4-2</t>
  </si>
  <si>
    <t xml:space="preserve">NFR-8</t>
  </si>
  <si>
    <t xml:space="preserve">W1-M3-4, W7-M1-2</t>
  </si>
  <si>
    <t xml:space="preserve">W1-M3-4, W2-M1-4, W5-M1-1, W5-M1-4, W6-M1-4, W7-M1-3</t>
  </si>
  <si>
    <t xml:space="preserve">NFR-10</t>
  </si>
  <si>
    <t xml:space="preserve">W1-M3-4, W5-M1-4, W6-M3-4</t>
  </si>
  <si>
    <t xml:space="preserve">NFR-11</t>
  </si>
  <si>
    <t xml:space="preserve">W1-M3-4, W5-M4-1</t>
  </si>
  <si>
    <t xml:space="preserve">W1-M3-4, W2-M1-1, W2-M2-3, W2-M5-2, W5-M1-3, W6-M1-4, W7-M1-3</t>
  </si>
  <si>
    <t xml:space="preserve">W1-M3-4, W1-M5-1, W1-M5-4, W2-M5-4, W3-M5-6, W6-M5-4, W8-M5-5</t>
  </si>
  <si>
    <t xml:space="preserve">W1-M3-4, W3-M5-1, W5-M5-4, W6-M5-5</t>
  </si>
  <si>
    <t xml:space="preserve">W1-M3-4, W1-M5-4, W2-M5-6, W4-M5-1</t>
  </si>
  <si>
    <t xml:space="preserve">W1-M3-4, W6-M1-2, W6-M1-3, W6-M4-3</t>
  </si>
  <si>
    <t xml:space="preserve">W1-M1-2, W1-M1-4, W1-M1-6, W1-M3-4, W1-M5-5, W2-M1-2, W2-M1-3</t>
  </si>
  <si>
    <t xml:space="preserve">W1-M3-4, W2-M1-2, W4-M1-5, W5-M1-2</t>
  </si>
  <si>
    <t xml:space="preserve">NFR-19</t>
  </si>
  <si>
    <t xml:space="preserve">W1-M3-4, W4-M4-1</t>
  </si>
  <si>
    <t xml:space="preserve">W1-M3-4, W4-M1-1, W4-M1-2</t>
  </si>
  <si>
    <t xml:space="preserve">W1-M3-4, W1-M4-3, W1-M4-4, W2-M1-1, W2-M1-5, W2-M4-3, W4-M1-3</t>
  </si>
  <si>
    <t xml:space="preserve">W1-M3-4, W3-M4-1, W3-M4-5, W6-M4-2, W7-M4-2</t>
  </si>
  <si>
    <t xml:space="preserve">W1-M3-4, W2-M4-2, W3-M1-2, W3-M4-3, W6-M4-3, W7-M4-2</t>
  </si>
  <si>
    <t xml:space="preserve">Yêu cầu còn thiếu</t>
  </si>
  <si>
    <t xml:space="preserve">Summary</t>
  </si>
  <si>
    <t xml:space="preserve">Issue Type</t>
  </si>
  <si>
    <t xml:space="preserve">Parent (Epic key)</t>
  </si>
  <si>
    <t xml:space="preserve">Epic (tên)</t>
  </si>
  <si>
    <t xml:space="preserve">Original Estimate</t>
  </si>
  <si>
    <t xml:space="preserve">Labels </t>
  </si>
  <si>
    <t xml:space="preserve">Description</t>
  </si>
  <si>
    <t xml:space="preserve">Task</t>
  </si>
  <si>
    <t xml:space="preserve">SCRUM-14</t>
  </si>
  <si>
    <t xml:space="preserve">5h</t>
  </si>
  <si>
    <t xml:space="preserve">W1</t>
  </si>
  <si>
    <t xml:space="preserve">Mục tiêu/Tiêu chí hoàn thành:
- Cây 7 thư mục; template trang; DoD đã đăng và cả nhóm đã đọc
Yêu cầu liên quan: —
Cần trước: —
ID kế hoạch: W1-M1-3</t>
  </si>
  <si>
    <t xml:space="preserve">14h</t>
  </si>
  <si>
    <t xml:space="preserve">Mục tiêu/Tiêu chí hoàn thành:
- Sơ đồ + 10 ADR trên Confluence, nhóm thống nhất
Yêu cầu liên quan: NFR-7,NFR-17
Cần trước: —
ID kế hoạch: W1-M1-4</t>
  </si>
  <si>
    <t xml:space="preserve">SCRUM-1</t>
  </si>
  <si>
    <t xml:space="preserve">10h</t>
  </si>
  <si>
    <t xml:space="preserve">Mục tiêu/Tiêu chí hoàn thành:
- docker compose up chạy đủ 4 thành phần; ghi rõ RAM tối thiểu VPS (khuyến nghị 16GB)
Yêu cầu liên quan: NFR-7
Cần trước: —
ID kế hoạch: W1-M1-5</t>
  </si>
  <si>
    <t xml:space="preserve">9h</t>
  </si>
  <si>
    <t xml:space="preserve">Mục tiêu/Tiêu chí hoàn thành:
- Clone về chạy được trong 10 phút; có /health, Swagger, Dockerfile
Yêu cầu liên quan: NFR-17
Cần trước: —
ID kế hoạch: W1-M1-6</t>
  </si>
  <si>
    <t xml:space="preserve">8h</t>
  </si>
  <si>
    <t xml:space="preserve">Mục tiêu/Tiêu chí hoàn thành:
- ≥30 thuật ngữ; chốt quy tắc OCT (nhận upload, chỉ Fundus được AI chấm)
Yêu cầu liên quan: —
Cần trước: —
ID kế hoạch: W1-M2-1</t>
  </si>
  <si>
    <t xml:space="preserve">Mục tiêu/Tiêu chí hoàn thành:
- Mỗi FR có use case, luồng chính, luồng ngoại lệ
Yêu cầu liên quan: FR-1:21
Cần trước: —
ID kế hoạch: W1-M2-2</t>
  </si>
  <si>
    <t xml:space="preserve">Mục tiêu/Tiêu chí hoàn thành:
- Account kế thừa 4 vai trò; Clinic, Analysis, Review, Report; đúng UML 2.0
Yêu cầu liên quan: —
Cần trước: —
ID kế hoạch: W1-M2-3</t>
  </si>
  <si>
    <t xml:space="preserve">SCRUM-4</t>
  </si>
  <si>
    <t xml:space="preserve">Mục tiêu/Tiêu chí hoàn thành:
- Đủ trạng thái Pending→Processing→AIDone→Reviewed→Finalized/Failed
Yêu cầu liên quan: FR-24
Cần trước: —
ID kế hoạch: W1-M2-4</t>
  </si>
  <si>
    <t xml:space="preserve">12h</t>
  </si>
  <si>
    <t xml:space="preserve">Mục tiêu/Tiêu chí hoàn thành:
- Schema tách theo service, không khóa ngoại chéo service
Yêu cầu liên quan: —
Cần trước: —
ID kế hoạch: W1-M2-5</t>
  </si>
  <si>
    <t xml:space="preserve">Mục tiêu/Tiêu chí hoàn thành:
- Ma trận FR/NFR↔task; FR-30 ghi đúng; phân loại Must/Should/Could
Yêu cầu liên quan: FR-30
Cần trước: —
ID kế hoạch: W1-M3-1</t>
  </si>
  <si>
    <t xml:space="preserve">Mục tiêu/Tiêu chí hoàn thành:
- Mỗi FR có use case
Yêu cầu liên quan: FR-22:39
Cần trước: —
ID kế hoạch: W1-M3-2</t>
  </si>
  <si>
    <t xml:space="preserve">Mục tiêu/Tiêu chí hoàn thành:
- Story cho 39 FR kèm AC; import từ file kế hoạch này
Yêu cầu liên quan: —
Cần trước: Use case Patient/Doctor (M2, Thứ Tư)
ID kế hoạch: W1-M3-3</t>
  </si>
  <si>
    <t xml:space="preserve">SCRUM-13</t>
  </si>
  <si>
    <t xml:space="preserve">6h</t>
  </si>
  <si>
    <t xml:space="preserve">Mục tiêu/Tiêu chí hoàn thành:
- Mỗi NFR có cách đo và ngưỡng đạt
Yêu cầu liên quan: NFR-1:23
Cần trước: —
ID kế hoạch: W1-M3-4</t>
  </si>
  <si>
    <t xml:space="preserve">Mục tiêu/Tiêu chí hoàn thành:
- ERD hai service; không FK chéo
Yêu cầu liên quan: —
Cần trước: —
ID kế hoạch: W1-M3-5</t>
  </si>
  <si>
    <t xml:space="preserve">SCRUM-5</t>
  </si>
  <si>
    <t xml:space="preserve">Mục tiêu/Tiêu chí hoàn thành:
- Báo cáo EDA; ghi rõ dataset nào có nhãn gì
Yêu cầu liên quan: —
Cần trước: —
ID kế hoạch: W1-M4-1</t>
  </si>
  <si>
    <t xml:space="preserve">16h</t>
  </si>
  <si>
    <t xml:space="preserve">Mục tiêu/Tiêu chí hoàn thành:
- Chạy được trên ≥20 ảnh mẫu, lưu kết quả
Yêu cầu liên quan: FR-3
Cần trước: —
ID kế hoạch: W1-M4-2</t>
  </si>
  <si>
    <t xml:space="preserve">Mục tiêu/Tiêu chí hoàn thành:
- M1, M2 duyệt hợp đồng; input/output JSON cố định
Yêu cầu liên quan: NFR-21
Cần trước: —
ID kế hoạch: W1-M4-3</t>
  </si>
  <si>
    <t xml:space="preserve">Mục tiêu/Tiêu chí hoàn thành:
- Container chạy, /health và /analyze (mock) trả JSON
Yêu cầu liên quan: NFR-21
Cần trước: —
ID kế hoạch: W1-M4-4</t>
  </si>
  <si>
    <t xml:space="preserve">SCRUM-9</t>
  </si>
  <si>
    <t xml:space="preserve">Mục tiêu/Tiêu chí hoàn thành:
- NiFi UI truy cập được, flow ListenHTTP→log chạy
Yêu cầu liên quan: —
Cần trước: —
ID kế hoạch: W1-M4-5</t>
  </si>
  <si>
    <t xml:space="preserve">Mục tiêu/Tiêu chí hoàn thành:
- Có số liệu; nêu rõ risk score là heuristic vì dataset công khai không có nhãn tăng huyết áp/đột quỵ
Yêu cầu liên quan: NFR-1
Cần trước: —
ID kế hoạch: W1-M4-6</t>
  </si>
  <si>
    <t xml:space="preserve">SCRUM-12</t>
  </si>
  <si>
    <t xml:space="preserve">Mục tiêu/Tiêu chí hoàn thành:
- Sitemap 4 vai trò được nhóm duyệt
Yêu cầu liên quan: NFR-13
Cần trước: —
ID kế hoạch: W1-M5-1</t>
  </si>
  <si>
    <t xml:space="preserve">Mục tiêu/Tiêu chí hoàn thành:
- Phủ mọi màn của FR-1→21
Yêu cầu liên quan: FR-1:21
Cần trước: —
ID kế hoạch: W1-M5-2</t>
  </si>
  <si>
    <t xml:space="preserve">Mục tiêu/Tiêu chí hoàn thành:
- Phủ mọi màn của FR-22→39
Yêu cầu liên quan: FR-22:39
Cần trước: —
ID kế hoạch: W1-M5-3</t>
  </si>
  <si>
    <t xml:space="preserve">Mục tiêu/Tiêu chí hoàn thành:
- Bảng màu, font, component cơ bản trên Figma
Yêu cầu liên quan: NFR-13,NFR-15
Cần trước: —
ID kế hoạch: W1-M5-4</t>
  </si>
  <si>
    <t xml:space="preserve">Mục tiêu/Tiêu chí hoàn thành:
- npm run dev chạy; CI lint+build xanh
Yêu cầu liên quan: NFR-17
Cần trước: Repo (M1, ngày 1-2)
ID kế hoạch: W1-M5-5</t>
  </si>
  <si>
    <t xml:space="preserve">SCRUM-2</t>
  </si>
  <si>
    <t xml:space="preserve">W2</t>
  </si>
  <si>
    <t xml:space="preserve">Mục tiêu/Tiêu chí hoàn thành:
- Không token→401; có token→200; log có X-Correlation-Id
Yêu cầu liên quan: NFR-12,NFR-21
Cần trước: Khóa ký JWT dev (M2, Thứ Ba)
ID kế hoạch: W2-M1-1</t>
  </si>
  <si>
    <t xml:space="preserve">Mục tiêu/Tiêu chí hoàn thành:
- ≥3 service dùng chung thư viện
Yêu cầu liên quan: NFR-17,NFR-18
Cần trước: Template service (T1)
ID kế hoạch: W2-M1-2</t>
  </si>
  <si>
    <t xml:space="preserve">Mục tiêu/Tiêu chí hoàn thành:
- PR chạy build+test; merge develop đẩy image lên GHCR
Yêu cầu liên quan: NFR-17
Cần trước: Template service (T1)
ID kế hoạch: W2-M1-3</t>
  </si>
  <si>
    <t xml:space="preserve">Mục tiêu/Tiêu chí hoàn thành:
- https://&lt;domain&gt;/health trả 200, chứng chỉ hợp lệ (FCM và VNPay cần HTTPS công khai); VPS ≥16GB RAM
Yêu cầu liên quan: NFR-9
Cần trước: —
ID kế hoạch: W2-M1-4</t>
  </si>
  <si>
    <t xml:space="preserve">4h</t>
  </si>
  <si>
    <t xml:space="preserve">Mục tiêu/Tiêu chí hoàn thành:
- Một collection gọi được Identity, Profile qua Gateway
Yêu cầu liên quan: NFR-21
Cần trước: —
ID kế hoạch: W2-M1-5</t>
  </si>
  <si>
    <t xml:space="preserve">Mục tiêu/Tiêu chí hoàn thành:
- Đăng ký→đăng nhập→JWT; refresh hoạt động; mật khẩu băm
Yêu cầu liên quan: FR-1
Cần trước: —
ID kế hoạch: W2-M2-1</t>
  </si>
  <si>
    <t xml:space="preserve">Mục tiêu/Tiêu chí hoàn thành:
- Đăng nhập Google trả JWT của hệ thống; social thứ hai bật được trong Firebase
Yêu cầu liên quan: FR-1
Cần trước: —
ID kế hoạch: W2-M2-2</t>
  </si>
  <si>
    <t xml:space="preserve">Mục tiêu/Tiêu chí hoàn thành:
- Token chứa role; API sai quyền→403
Yêu cầu liên quan: FR-32,NFR-12
Cần trước: —
ID kế hoạch: W2-M2-3</t>
  </si>
  <si>
    <t xml:space="preserve">Mục tiêu/Tiêu chí hoàn thành:
- Nhận email có link; đặt lại được mật khẩu
Yêu cầu liên quan: FR-1
Cần trước: —
ID kế hoạch: W2-M2-4</t>
  </si>
  <si>
    <t xml:space="preserve">Mục tiêu/Tiêu chí hoàn thành:
- Coverage logic chính ≥70%, CI xanh
Yêu cầu liên quan: —
Cần trước: —
ID kế hoạch: W2-M2-5</t>
  </si>
  <si>
    <t xml:space="preserve">Mục tiêu/Tiêu chí hoàn thành:
- Trang Confluence + Swagger đủ endpoint
Yêu cầu liên quan: —
Cần trước: —
ID kế hoạch: W2-M2-6</t>
  </si>
  <si>
    <t xml:space="preserve">SCRUM-3</t>
  </si>
  <si>
    <t xml:space="preserve">Mục tiêu/Tiêu chí hoàn thành:
- Tạo/sửa/xem hồ sơ; chỉ chủ hồ sơ truy cập
Yêu cầu liên quan: FR-8
Cần trước: JWT dev (M2)
ID kế hoạch: W2-M3-1</t>
  </si>
  <si>
    <t xml:space="preserve">Mục tiêu/Tiêu chí hoàn thành:
- Clinic đăng ký ở trạng thái Pending chờ duyệt
Yêu cầu liên quan: FR-22
Cần trước: —
ID kế hoạch: W2-M3-2</t>
  </si>
  <si>
    <t xml:space="preserve">Mục tiêu/Tiêu chí hoàn thành:
- Clinic thêm/sửa/khóa bác sĩ và bệnh nhân của mình
Yêu cầu liên quan: FR-23
Cần trước: —
ID kế hoạch: W2-M3-3</t>
  </si>
  <si>
    <t xml:space="preserve">Mục tiêu/Tiêu chí hoàn thành:
- Bác sĩ chỉ thấy bệnh nhân được gán
Yêu cầu liên quan: FR-13
Cần trước: —
ID kế hoạch: W2-M3-4</t>
  </si>
  <si>
    <t xml:space="preserve">Mục tiêu/Tiêu chí hoàn thành:
- Coverage ≥70%
Yêu cầu liên quan: —
Cần trước: —
ID kế hoạch: W2-M3-5</t>
  </si>
  <si>
    <t xml:space="preserve">Mục tiêu/Tiêu chí hoàn thành:
- Trang Confluence + Swagger
Yêu cầu liên quan: —
Cần trước: —
ID kế hoạch: W2-M3-6</t>
  </si>
  <si>
    <t xml:space="preserve">20h</t>
  </si>
  <si>
    <t xml:space="preserve">Mục tiêu/Tiêu chí hoàn thành:
- Ảnh fundus→JSON đúng hợp đồng; OCT trả mã 'unsupported'
Yêu cầu liên quan: FR-3
Cần trước: Hợp đồng API (T1)
ID kế hoạch: W2-M4-1</t>
  </si>
  <si>
    <t xml:space="preserve">Mục tiêu/Tiêu chí hoàn thành:
- Response chứa model_version và thresholds
Yêu cầu liên quan: NFR-23
Cần trước: —
ID kế hoạch: W2-M4-2</t>
  </si>
  <si>
    <t xml:space="preserve">Mục tiêu/Tiêu chí hoàn thành:
- Bật biến môi trường là trả JSON mock đúng schema
Yêu cầu liên quan: NFR-21
Cần trước: —
ID kế hoạch: W2-M4-3</t>
  </si>
  <si>
    <t xml:space="preserve">Mục tiêu/Tiêu chí hoàn thành:
- Image &lt;3GB; test xanh
Yêu cầu liên quan: —
Cần trước: —
ID kế hoạch: W2-M4-4</t>
  </si>
  <si>
    <t xml:space="preserve">Mục tiêu/Tiêu chí hoàn thành:
- Báo cáo p50/p95 trên VPS staging
Yêu cầu liên quan: NFR-1
Cần trước: —
ID kế hoạch: W2-M4-5</t>
  </si>
  <si>
    <t xml:space="preserve">Mục tiêu/Tiêu chí hoàn thành:
- Flow mẫu nhận file và gọi API thử
Yêu cầu liên quan: —
Cần trước: —
ID kế hoạch: W2-M4-6</t>
  </si>
  <si>
    <t xml:space="preserve">Mục tiêu/Tiêu chí hoàn thành:
- Hi-fi cho đăng nhập, upload, kết quả, review
Yêu cầu liên quan: FR-1:21
Cần trước: —
ID kế hoạch: W2-M5-1</t>
  </si>
  <si>
    <t xml:space="preserve">Mục tiêu/Tiêu chí hoàn thành:
- Đăng nhập email + Google; vào đúng trang theo vai trò
Yêu cầu liên quan: FR-1,NFR-12
Cần trước: Identity login (M2, Thứ Tư) hoặc MSW
ID kế hoạch: W2-M5-2</t>
  </si>
  <si>
    <t xml:space="preserve">Mục tiêu/Tiêu chí hoàn thành:
- Token hết hạn tự refresh; mock chạy khi API chưa sẵn
Yêu cầu liên quan: —
Cần trước: —
ID kế hoạch: W2-M5-3</t>
  </si>
  <si>
    <t xml:space="preserve">Mục tiêu/Tiêu chí hoàn thành:
- Menu khác nhau theo 4 vai trò; chạy trên mobile
Yêu cầu liên quan: NFR-13
Cần trước: —
ID kế hoạch: W2-M5-4</t>
  </si>
  <si>
    <t xml:space="preserve">Mục tiêu/Tiêu chí hoàn thành:
- Xem và sửa hồ sơ
Yêu cầu liên quan: FR-8
Cần trước: Profile API (M3) hoặc MSW
ID kế hoạch: W2-M5-5</t>
  </si>
  <si>
    <t xml:space="preserve">Mục tiêu/Tiêu chí hoàn thành:
- Button, Form, Table, Modal, Toast dùng chung
Yêu cầu liên quan: NFR-15
Cần trước: —
ID kế hoạch: W2-M5-6</t>
  </si>
  <si>
    <t xml:space="preserve">W3</t>
  </si>
  <si>
    <t xml:space="preserve">Mục tiêu/Tiêu chí hoàn thành:
- Ảnh vào queue→AI→kết quả; AI lỗi→retry→DLQ; ảnh không mất
Yêu cầu liên quan: NFR-2,NFR-5,NFR-7
Cần trước: Schema AnalysisRequested (M2, T3 Thứ Hai-Ba); AI /analyze (T2)
ID kế hoạch: W3-M1-1</t>
  </si>
  <si>
    <t xml:space="preserve">Mục tiêu/Tiêu chí hoàn thành:
- Mỗi kết quả có model_version và thresholds
Yêu cầu liên quan: NFR-23
Cần trước: —
ID kế hoạch: W3-M1-2</t>
  </si>
  <si>
    <t xml:space="preserve">Mục tiêu/Tiêu chí hoàn thành:
- Tạo batch, theo dõi trạng thái từng ảnh
Yêu cầu liên quan: FR-24,NFR-2
Cần trước: —
ID kế hoạch: W3-M1-3</t>
  </si>
  <si>
    <t xml:space="preserve">Mục tiêu/Tiêu chí hoàn thành:
- Test Upload→Queue→AI chạy trên CI
Yêu cầu liên quan: NFR-5
Cần trước: —
ID kế hoạch: W3-M1-4</t>
  </si>
  <si>
    <t xml:space="preserve">Mục tiêu/Tiêu chí hoàn thành:
- docker compose up chạy toàn bộ service
Yêu cầu liên quan: —
Cần trước: —
ID kế hoạch: W3-M1-5</t>
  </si>
  <si>
    <t xml:space="preserve">Mục tiêu/Tiêu chí hoàn thành:
- Migration chạy sạch trên DB mới
Yêu cầu liên quan: —
Cần trước: ERD (T1)
ID kế hoạch: W3-M2-1</t>
  </si>
  <si>
    <t xml:space="preserve">Mục tiêu/Tiêu chí hoàn thành:
- Upload nhiều ảnh; sai định dạng bị từ chối; OCT gắn cờ chưa hỗ trợ AI
Yêu cầu liên quan: FR-2
Cần trước: —
ID kế hoạch: W3-M2-2</t>
  </si>
  <si>
    <t xml:space="preserve">Mục tiêu/Tiêu chí hoàn thành:
- Chuyển trạng thái hợp lệ; chuyển sai bị chặn
Yêu cầu liên quan: NFR-5
Cần trước: —
ID kế hoạch: W3-M2-3</t>
  </si>
  <si>
    <t xml:space="preserve">Mục tiêu/Tiêu chí hoàn thành:
- Schema AnalysisRequested/Completed đã ghi vào Confluence
Yêu cầu liên quan: —
Cần trước: —
ID kế hoạch: W3-M2-4</t>
  </si>
  <si>
    <t xml:space="preserve">SCRUM-8</t>
  </si>
  <si>
    <t xml:space="preserve">Mục tiêu/Tiêu chí hoàn thành:
- Hết credit→từ chối; Billing sập→circuit breaker mở
Yêu cầu liên quan: FR-11
Cần trước: Billing API/stub (M3, Thứ Tư)
ID kế hoạch: W3-M2-5</t>
  </si>
  <si>
    <t xml:space="preserve">Mục tiêu/Tiêu chí hoàn thành:
- Coverage ≥70%
Yêu cầu liên quan: —
Cần trước: —
ID kế hoạch: W3-M2-6</t>
  </si>
  <si>
    <t xml:space="preserve">Mục tiêu/Tiêu chí hoàn thành:
- Gói và credit lưu đúng
Yêu cầu liên quan: FR-11,FR-12
Cần trước: —
ID kế hoạch: W3-M3-1</t>
  </si>
  <si>
    <t xml:space="preserve">Mục tiêu/Tiêu chí hoàn thành:
- Giữ→trừ khi xong; AI lỗi→hoàn credit
Yêu cầu liên quan: FR-11
Cần trước: —
ID kế hoạch: W3-M3-2</t>
  </si>
  <si>
    <t xml:space="preserve">Mục tiêu/Tiêu chí hoàn thành:
- Trả danh sách có phân trang
Yêu cầu liên quan: FR-12
Cần trước: —
ID kế hoạch: W3-M3-3</t>
  </si>
  <si>
    <t xml:space="preserve">Mục tiêu/Tiêu chí hoàn thành:
- Đổi cổng thanh toán không sửa nghiệp vụ
Yêu cầu liên quan: FR-11
Cần trước: —
ID kế hoạch: W3-M3-4</t>
  </si>
  <si>
    <t xml:space="preserve">Mục tiêu/Tiêu chí hoàn thành:
- Coverage ≥70%, case hoàn credit
Yêu cầu liên quan: —
Cần trước: —
ID kế hoạch: W3-M3-5</t>
  </si>
  <si>
    <t xml:space="preserve">Mục tiêu/Tiêu chí hoàn thành:
- Sequence diagram + API
Yêu cầu liên quan: —
Cần trước: —
ID kế hoạch: W3-M3-6</t>
  </si>
  <si>
    <t xml:space="preserve">Mục tiêu/Tiêu chí hoàn thành:
- Trả URL heatmap và ảnh annotated
Yêu cầu liên quan: FR-4,NFR-22
Cần trước: —
ID kế hoạch: W3-M4-1</t>
  </si>
  <si>
    <t xml:space="preserve">Mục tiêu/Tiêu chí hoàn thành:
- Trả 3 mức nguy cơ; ngưỡng sửa qua cấu hình; ghi rõ không phải chẩn đoán
Yêu cầu liên quan: FR-3,FR-5
Cần trước: —
ID kế hoạch: W3-M4-2</t>
  </si>
  <si>
    <t xml:space="preserve">Mục tiêu/Tiêu chí hoàn thành:
- Liệt kê/chọn phiên bản model
Yêu cầu liên quan: NFR-23
Cần trước: —
ID kế hoạch: W3-M4-3</t>
  </si>
  <si>
    <t xml:space="preserve">Mục tiêu/Tiêu chí hoàn thành:
- p95 ≤20 giây trên VPS
Yêu cầu liên quan: NFR-1
Cần trước: —
ID kế hoạch: W3-M4-4</t>
  </si>
  <si>
    <t xml:space="preserve">Mục tiêu/Tiêu chí hoàn thành:
- Trả các yếu tố giải thích kèm kết quả
Yêu cầu liên quan: NFR-22
Cần trước: —
ID kế hoạch: W3-M4-5</t>
  </si>
  <si>
    <t xml:space="preserve">Mục tiêu/Tiêu chí hoàn thành:
- Test xanh trên CI
Yêu cầu liên quan: —
Cần trước: —
ID kế hoạch: W3-M4-6</t>
  </si>
  <si>
    <t xml:space="preserve">Mục tiêu/Tiêu chí hoàn thành:
- Upload nhiều ảnh, hiện tiến trình; ≤3 click
Yêu cầu liên quan: FR-2,NFR-14
Cần trước: Analysis API (M2) hoặc MSW
ID kế hoạch: W3-M5-1</t>
  </si>
  <si>
    <t xml:space="preserve">Mục tiêu/Tiêu chí hoàn thành:
- Trạng thái cập nhật tự động
Yêu cầu liên quan: FR-6
Cần trước: —
ID kế hoạch: W3-M5-2</t>
  </si>
  <si>
    <t xml:space="preserve">Mục tiêu/Tiêu chí hoàn thành:
- Tổng quan lần phân tích gần nhất và credit
Yêu cầu liên quan: FR-3
Cần trước: —
ID kế hoạch: W3-M5-3</t>
  </si>
  <si>
    <t xml:space="preserve">Mục tiêu/Tiêu chí hoàn thành:
- Hiện risk level từ API
Yêu cầu liên quan: FR-3
Cần trước: —
ID kế hoạch: W3-M5-4</t>
  </si>
  <si>
    <t xml:space="preserve">Mục tiêu/Tiêu chí hoàn thành:
- Lấy được FCM token trên trình duyệt
Yêu cầu liên quan: FR-9
Cần trước: —
ID kế hoạch: W3-M5-5</t>
  </si>
  <si>
    <t xml:space="preserve">Mục tiêu/Tiêu chí hoàn thành:
- Danh sách lỗi UX đã xử lý
Yêu cầu liên quan: NFR-13
Cần trước: —
ID kế hoạch: W3-M5-6</t>
  </si>
  <si>
    <t xml:space="preserve">SCRUM-6</t>
  </si>
  <si>
    <t xml:space="preserve">W4</t>
  </si>
  <si>
    <t xml:space="preserve">Mục tiêu/Tiêu chí hoàn thành:
- PDF có kết quả, risk, ảnh annotated, phiên bản AI; CSV mở được bằng Excel
Yêu cầu liên quan: FR-7,NFR-20
Cần trước: Kết quả phân tích (M2, T4 Thứ Tư)
ID kế hoạch: W4-M1-1</t>
  </si>
  <si>
    <t xml:space="preserve">Mục tiêu/Tiêu chí hoàn thành:
- JSON hợp lệ theo FHIR R4 cho một báo cáo
Yêu cầu liên quan: NFR-20
Cần trước: —
ID kế hoạch: W4-M1-2</t>
  </si>
  <si>
    <t xml:space="preserve">Mục tiêu/Tiêu chí hoàn thành:
- /health tổng hợp mọi service
Yêu cầu liên quan: NFR-21
Cần trước: —
ID kế hoạch: W4-M1-3</t>
  </si>
  <si>
    <t xml:space="preserve">Mục tiêu/Tiêu chí hoàn thành:
- Merge develop tự deploy staging
Yêu cầu liên quan: —
Cần trước: —
ID kế hoạch: W4-M1-4</t>
  </si>
  <si>
    <t xml:space="preserve">Mục tiêu/Tiêu chí hoàn thành:
- Log mọi service xem được trên Seq theo correlation-id
Yêu cầu liên quan: NFR-18
Cần trước: —
ID kế hoạch: W4-M1-5</t>
  </si>
  <si>
    <t xml:space="preserve">Mục tiêu/Tiêu chí hoàn thành:
- Danh sách nợ đã đóng
Yêu cầu liên quan: —
Cần trước: —
ID kế hoạch: W4-M1-6</t>
  </si>
  <si>
    <t xml:space="preserve">22h</t>
  </si>
  <si>
    <t xml:space="preserve">Mục tiêu/Tiêu chí hoàn thành:
- Bác sĩ xác nhận/sửa kết quả, ghi chú; trạng thái→Reviewed/Finalized
Yêu cầu liên quan: FR-13:16
Cần trước: —
ID kế hoạch: W4-M2-1</t>
  </si>
  <si>
    <t xml:space="preserve">Mục tiêu/Tiêu chí hoàn thành:
- Lọc đúng; xu hướng theo thời gian
Yêu cầu liên quan: FR-6,FR-17,FR-18
Cần trước: —
ID kế hoạch: W4-M2-2</t>
  </si>
  <si>
    <t xml:space="preserve">Mục tiêu/Tiêu chí hoàn thành:
- Mỗi mức nguy cơ có khuyến nghị tương ứng
Yêu cầu liên quan: FR-5
Cần trước: —
ID kế hoạch: W4-M2-3</t>
  </si>
  <si>
    <t xml:space="preserve">Mục tiêu/Tiêu chí hoàn thành:
- Coverage ≥70%
Yêu cầu liên quan: —
Cần trước: —
ID kế hoạch: W4-M2-4</t>
  </si>
  <si>
    <t xml:space="preserve">Mục tiêu/Tiêu chí hoàn thành:
- Consumer test xanh
Yêu cầu liên quan: —
Cần trước: —
ID kế hoạch: W4-M2-5</t>
  </si>
  <si>
    <t xml:space="preserve">SCRUM-7</t>
  </si>
  <si>
    <t xml:space="preserve">Mục tiêu/Tiêu chí hoàn thành:
- Push nhận được khi AI xong
Yêu cầu liên quan: FR-9
Cần trước: —
ID kế hoạch: W4-M3-1</t>
  </si>
  <si>
    <t xml:space="preserve">Mục tiêu/Tiêu chí hoàn thành:
- Sự kiện→thông báo đúng người
Yêu cầu liên quan: FR-9
Cần trước: Sự kiện (M2, T4 Thứ Tư)
ID kế hoạch: W4-M3-2</t>
  </si>
  <si>
    <t xml:space="preserve">Mục tiêu/Tiêu chí hoàn thành:
- Danh sách, đánh dấu đã đọc
Yêu cầu liên quan: FR-9
Cần trước: —
ID kế hoạch: W4-M3-3</t>
  </si>
  <si>
    <t xml:space="preserve">Mục tiêu/Tiêu chí hoàn thành:
- Template có biến thay thế
Yêu cầu liên quan: FR-39
Cần trước: —
ID kế hoạch: W4-M3-4</t>
  </si>
  <si>
    <t xml:space="preserve">Mục tiêu/Tiêu chí hoàn thành:
- Coverage ≥70%
Yêu cầu liên quan: —
Cần trước: —
ID kế hoạch: W4-M3-5</t>
  </si>
  <si>
    <t xml:space="preserve">Mục tiêu/Tiêu chí hoàn thành:
- Sequence diagram + API
Yêu cầu liên quan: —
Cần trước: —
ID kế hoạch: W4-M3-6</t>
  </si>
  <si>
    <t xml:space="preserve">Mục tiêu/Tiêu chí hoàn thành:
- Thả ảnh vào thư mục/HTTP→xuất hiện phân tích; dùng tài khoản dịch vụ
Yêu cầu liên quan: FR-24,NFR-19
Cần trước: Endpoint ingest (M2+M1, Thứ Tư)
ID kế hoạch: W4-M4-1</t>
  </si>
  <si>
    <t xml:space="preserve">Mục tiêu/Tiêu chí hoàn thành:
- Lỗi vào nhánh failure, không mất ảnh
Yêu cầu liên quan: NFR-5
Cần trước: —
ID kế hoạch: W4-M4-2</t>
  </si>
  <si>
    <t xml:space="preserve">Mục tiêu/Tiêu chí hoàn thành:
- Lưu feedback gắn với kết quả
Yêu cầu liên quan: FR-19
Cần trước: —
ID kế hoạch: W4-M4-3</t>
  </si>
  <si>
    <t xml:space="preserve">Mục tiêu/Tiêu chí hoàn thành:
- Nhận danh sách ảnh, trả theo từng ảnh
Yêu cầu liên quan: NFR-2
Cần trước: —
ID kế hoạch: W4-M4-4</t>
  </si>
  <si>
    <t xml:space="preserve">Mục tiêu/Tiêu chí hoàn thành:
- File template trong /infra/nifi
Yêu cầu liên quan: —
Cần trước: —
ID kế hoạch: W4-M4-5</t>
  </si>
  <si>
    <t xml:space="preserve">Mục tiêu/Tiêu chí hoàn thành:
- Kịch bản test ghi trên Confluence
Yêu cầu liên quan: —
Cần trước: —
ID kế hoạch: W4-M4-6</t>
  </si>
  <si>
    <t xml:space="preserve">Mục tiêu/Tiêu chí hoàn thành:
- Hiện ảnh chú thích, bật tắt heatmap, khuyến nghị
Yêu cầu liên quan: FR-3,FR-4,FR-5,NFR-15
Cần trước: Kết quả + heatmap (M2, M4)
ID kế hoạch: W4-M5-1</t>
  </si>
  <si>
    <t xml:space="preserve">Mục tiêu/Tiêu chí hoàn thành:
- Lọc theo ID, tên, mức nguy cơ
Yêu cầu liên quan: FR-13,FR-18
Cần trước: —
ID kế hoạch: W4-M5-2</t>
  </si>
  <si>
    <t xml:space="preserve">Mục tiêu/Tiêu chí hoàn thành:
- Xác nhận/sửa, ghi chú, gửi feedback
Yêu cầu liên quan: FR-14,FR-15,FR-16,FR-19
Cần trước: API review (M2, T4 Thứ Năm)
ID kế hoạch: W4-M5-3</t>
  </si>
  <si>
    <t xml:space="preserve">Mục tiêu/Tiêu chí hoàn thành:
- Biểu đồ nguy cơ theo thời gian
Yêu cầu liên quan: FR-6,FR-17
Cần trước: —
ID kế hoạch: W4-M5-4</t>
  </si>
  <si>
    <t xml:space="preserve">2h</t>
  </si>
  <si>
    <t xml:space="preserve">Mục tiêu/Tiêu chí hoàn thành:
- Tải được báo cáo
Yêu cầu liên quan: FR-7
Cần trước: —
ID kế hoạch: W4-M5-5</t>
  </si>
  <si>
    <t xml:space="preserve">Mục tiêu/Tiêu chí hoàn thành:
- Push hiện khi AI xong (HTTPS staging)
Yêu cầu liên quan: FR-9
Cần trước: FCM (M3)
ID kế hoạch: W4-M5-6</t>
  </si>
  <si>
    <t xml:space="preserve">Mục tiêu/Tiêu chí hoàn thành:
- Không lỗi chặn luồng MVP
Yêu cầu liên quan: —
Cần trước: —
ID kế hoạch: W4-M5-7</t>
  </si>
  <si>
    <t xml:space="preserve">SCRUM-11</t>
  </si>
  <si>
    <t xml:space="preserve">W5</t>
  </si>
  <si>
    <t xml:space="preserve">Mục tiêu/Tiêu chí hoàn thành:
- Cột PII mã hóa; TLS ≥1.2; điểm SSL Labs ≥A
Yêu cầu liên quan: NFR-9
Cần trước: —
ID kế hoạch: W5-M1-1</t>
  </si>
  <si>
    <t xml:space="preserve">Mục tiêu/Tiêu chí hoàn thành:
- Mọi thao tác nhạy cảm có log người, hành động, thời gian
Yêu cầu liên quan: FR-37,NFR-18
Cần trước: —
ID kế hoạch: W5-M1-2</t>
  </si>
  <si>
    <t xml:space="preserve">Mục tiêu/Tiêu chí hoàn thành:
- Không service nào tin Gateway mù quáng; checklist đã chạy
Yêu cầu liên quan: NFR-12
Cần trước: —
ID kế hoạch: W5-M1-3</t>
  </si>
  <si>
    <t xml:space="preserve">Mục tiêu/Tiêu chí hoàn thành:
- Ảnh không truy cập được bằng URL công khai
Yêu cầu liên quan: NFR-9,NFR-10
Cần trước: —
ID kế hoạch: W5-M1-4</t>
  </si>
  <si>
    <t xml:space="preserve">Mục tiêu/Tiêu chí hoàn thành:
- Cảnh báo khi service down
Yêu cầu liên quan: NFR-4
Cần trước: —
ID kế hoạch: W5-M1-5</t>
  </si>
  <si>
    <t xml:space="preserve">Mục tiêu/Tiêu chí hoàn thành:
- Cron backup chạy; restore thử thành công
Yêu cầu liên quan: NFR-6
Cần trước: —
ID kế hoạch: W5-M1-6</t>
  </si>
  <si>
    <t xml:space="preserve">Mục tiêu/Tiêu chí hoàn thành:
- 100 ảnh xử lý đủ; ảnh lỗi không chặn ảnh khác
Yêu cầu liên quan: FR-24,NFR-2
Cần trước: BatchJob (M1, T3)
ID kế hoạch: W5-M2-1</t>
  </si>
  <si>
    <t xml:space="preserve">Mục tiêu/Tiêu chí hoàn thành:
- Clinic xem tổng hợp và số ảnh đã phân tích
Yêu cầu liên quan: FR-25,FR-27
Cần trước: —
ID kế hoạch: W5-M2-2</t>
  </si>
  <si>
    <t xml:space="preserve">Mục tiêu/Tiêu chí hoàn thành:
- Kết quả nguy cơ cao phát sự kiện
Yêu cầu liên quan: FR-29
Cần trước: —
ID kế hoạch: W5-M2-3</t>
  </si>
  <si>
    <t xml:space="preserve">Mục tiêu/Tiêu chí hoàn thành:
- Test 100 ảnh trên staging
Yêu cầu liên quan: —
Cần trước: —
ID kế hoạch: W5-M2-4</t>
  </si>
  <si>
    <t xml:space="preserve">Mục tiêu/Tiêu chí hoàn thành:
- Bác sĩ và bệnh nhân chat thời gian thực, có lịch sử
Yêu cầu liên quan: FR-10,FR-20
Cần trước: —
ID kế hoạch: W5-M3-1</t>
  </si>
  <si>
    <t xml:space="preserve">Mục tiêu/Tiêu chí hoàn thành:
- Thanh toán sandbox cộng credit; callback lặp không cộng hai lần
Yêu cầu liên quan: FR-11,FR-28
Cần trước: HTTPS staging (M1, T2)
ID kế hoạch: W5-M3-2</t>
  </si>
  <si>
    <t xml:space="preserve">Mục tiêu/Tiêu chí hoàn thành:
- Xem lịch sử và credit còn lại
Yêu cầu liên quan: FR-12,FR-28
Cần trước: —
ID kế hoạch: W5-M3-3</t>
  </si>
  <si>
    <t xml:space="preserve">Mục tiêu/Tiêu chí hoàn thành:
- Gửi nhận tin nhắn trên web
Yêu cầu liên quan: FR-10,FR-20
Cần trước: Chat API (cùng M3)
ID kế hoạch: W5-M3-4</t>
  </si>
  <si>
    <t xml:space="preserve">Mục tiêu/Tiêu chí hoàn thành:
- Coverage ≥70%
Yêu cầu liên quan: —
Cần trước: —
ID kế hoạch: W5-M3-5</t>
  </si>
  <si>
    <t xml:space="preserve">Mục tiêu/Tiêu chí hoàn thành:
- Dataset đầu ra không còn định danh bệnh nhân
Yêu cầu liên quan: FR-19,NFR-11
Cần trước: Dữ liệu review thật (T4)
ID kế hoạch: W5-M4-1</t>
  </si>
  <si>
    <t xml:space="preserve">Mục tiêu/Tiêu chí hoàn thành:
- Số liệu thông lượng 1/2/4 worker
Yêu cầu liên quan: NFR-2,NFR-7
Cần trước: —
ID kế hoạch: W5-M4-2</t>
  </si>
  <si>
    <t xml:space="preserve">Mục tiêu/Tiêu chí hoàn thành:
- Chạy retrain trên dataset ẩn danh, sinh phiên bản model mới
Yêu cầu liên quan: FR-19
Cần trước: —
ID kế hoạch: W5-M4-3</t>
  </si>
  <si>
    <t xml:space="preserve">Mục tiêu/Tiêu chí hoàn thành:
- Kiểm tra ẩn danh trên mẫu
Yêu cầu liên quan: —
Cần trước: —
ID kế hoạch: W5-M4-4</t>
  </si>
  <si>
    <t xml:space="preserve">Mục tiêu/Tiêu chí hoàn thành:
- Mua gói và thấy credit tăng
Yêu cầu liên quan: FR-11,FR-12,FR-28
Cần trước: VNPay (M3)
ID kế hoạch: W5-M5-1</t>
  </si>
  <si>
    <t xml:space="preserve">Mục tiêu/Tiêu chí hoàn thành:
- Clinic đăng ký và xem trạng thái duyệt
Yêu cầu liên quan: FR-22
Cần trước: —
ID kế hoạch: W5-M5-2</t>
  </si>
  <si>
    <t xml:space="preserve">Mục tiêu/Tiêu chí hoàn thành:
- Thêm/sửa/khóa tài khoản
Yêu cầu liên quan: FR-23
Cần trước: —
ID kế hoạch: W5-M5-3</t>
  </si>
  <si>
    <t xml:space="preserve">Mục tiêu/Tiêu chí hoàn thành:
- Upload 100 ảnh thấy tiến độ
Yêu cầu liên quan: FR-24,NFR-14
Cần trước: Batch API (M2, T5 Thứ Tư)
ID kế hoạch: W5-M5-4</t>
  </si>
  <si>
    <t xml:space="preserve">Mục tiêu/Tiêu chí hoàn thành:
- Thấy tổng hợp và cảnh báo nguy cơ cao
Yêu cầu liên quan: FR-25,FR-26,FR-27,FR-29
Cần trước: —
ID kế hoạch: W5-M5-5</t>
  </si>
  <si>
    <t xml:space="preserve">Mục tiêu/Tiêu chí hoàn thành:
- Không lỗi chặn luồng clinic
Yêu cầu liên quan: —
Cần trước: —
ID kế hoạch: W5-M5-6</t>
  </si>
  <si>
    <t xml:space="preserve">SCRUM-10</t>
  </si>
  <si>
    <t xml:space="preserve">26h</t>
  </si>
  <si>
    <t xml:space="preserve">W6</t>
  </si>
  <si>
    <t xml:space="preserve">Mục tiêu/Tiêu chí hoàn thành:
- Admin bật/tắt/sửa tài khoản, đổi vai trò, duyệt clinic
Yêu cầu liên quan: FR-31,FR-32,FR-38
Cần trước: —
ID kế hoạch: W6-M1-1</t>
  </si>
  <si>
    <t xml:space="preserve">Mục tiêu/Tiêu chí hoàn thành:
- Đổi ngưỡng không cần restart
Yêu cầu liên quan: FR-33,NFR-16
Cần trước: —
ID kế hoạch: W6-M1-2</t>
  </si>
  <si>
    <t xml:space="preserve">Mục tiêu/Tiêu chí hoàn thành:
- Deploy bản mới không làm gián đoạn request
Yêu cầu liên quan: NFR-16
Cần trước: —
ID kế hoạch: W6-M1-3</t>
  </si>
  <si>
    <t xml:space="preserve">Mục tiêu/Tiêu chí hoàn thành:
- Lỗi mức cao đã đóng
Yêu cầu liên quan: NFR-9,NFR-12
Cần trước: —
ID kế hoạch: W6-M1-4</t>
  </si>
  <si>
    <t xml:space="preserve">Mục tiêu/Tiêu chí hoàn thành:
- Số ca đã duyệt, thời gian duyệt, tỉ lệ sửa kết quả
Yêu cầu liên quan: FR-21
Cần trước: —
ID kế hoạch: W6-M2-1</t>
  </si>
  <si>
    <t xml:space="preserve">Mục tiêu/Tiêu chí hoàn thành:
- Xuất CSV thống kê tổng hợp
Yêu cầu liên quan: FR-26,FR-30
Cần trước: —
ID kế hoạch: W6-M2-2</t>
  </si>
  <si>
    <t xml:space="preserve">Mục tiêu/Tiêu chí hoàn thành:
- Danh sách lỗi tích hợp đã đóng
Yêu cầu liên quan: —
Cần trước: —
ID kế hoạch: W6-M2-3</t>
  </si>
  <si>
    <t xml:space="preserve">Mục tiêu/Tiêu chí hoàn thành:
- Đủ cho Analysis, Identity
Yêu cầu liên quan: —
Cần trước: —
ID kế hoạch: W6-M2-4</t>
  </si>
  <si>
    <t xml:space="preserve">Mục tiêu/Tiêu chí hoàn thành:
- Admin tạo/sửa gói
Yêu cầu liên quan: FR-34
Cần trước: —
ID kế hoạch: W6-M3-1</t>
  </si>
  <si>
    <t xml:space="preserve">Mục tiêu/Tiêu chí hoàn thành:
- Admin sửa template, áp dụng khi gửi
Yêu cầu liên quan: FR-39
Cần trước: —
ID kế hoạch: W6-M3-2</t>
  </si>
  <si>
    <t xml:space="preserve">Mục tiêu/Tiêu chí hoàn thành:
- API trả số ảnh, phân bố nguy cơ, tỉ lệ lỗi, doanh thu
Yêu cầu liên quan: FR-35,FR-36
Cần trước: Schema đích (thống nhất Thứ Hai); NiFi #3 (M4, Thứ Tư)
ID kế hoạch: W6-M3-3</t>
  </si>
  <si>
    <t xml:space="preserve">Mục tiêu/Tiêu chí hoàn thành:
- Xem và lọc audit log
Yêu cầu liên quan: FR-37,NFR-10
Cần trước: Audit log (M1, T5)
ID kế hoạch: W6-M3-4</t>
  </si>
  <si>
    <t xml:space="preserve">Mục tiêu/Tiêu chí hoàn thành:
- Admin thao tác trên web
Yêu cầu liên quan: FR-34,FR-39
Cần trước: —
ID kế hoạch: W6-M3-5</t>
  </si>
  <si>
    <t xml:space="preserve">Mục tiêu/Tiêu chí hoàn thành:
- Coverage ≥70%
Yêu cầu liên quan: —
Cần trước: —
ID kế hoạch: W6-M3-6</t>
  </si>
  <si>
    <t xml:space="preserve">Mục tiêu/Tiêu chí hoàn thành:
- Dữ liệu tự chảy vào analytics; dashboard có số thật
Yêu cầu liên quan: FR-35,FR-36
Cần trước: Schema đích (M3, Thứ Hai)
ID kế hoạch: W6-M4-1</t>
  </si>
  <si>
    <t xml:space="preserve">Mục tiêu/Tiêu chí hoàn thành:
- Accuracy/AUC/thời gian trên tập kiểm thử, nêu rõ giới hạn
Yêu cầu liên quan: NFR-22
Cần trước: —
ID kế hoạch: W6-M4-2</t>
  </si>
  <si>
    <t xml:space="preserve">Mục tiêu/Tiêu chí hoàn thành:
- Đổi và quay lại phiên bản không downtime
Yêu cầu liên quan: NFR-16,NFR-23
Cần trước: —
ID kế hoạch: W6-M4-3</t>
  </si>
  <si>
    <t xml:space="preserve">Mục tiêu/Tiêu chí hoàn thành:
- Báo cáo thông lượng và độ trễ
Yêu cầu liên quan: NFR-1,NFR-2
Cần trước: —
ID kế hoạch: W6-M4-4</t>
  </si>
  <si>
    <t xml:space="preserve">Mục tiêu/Tiêu chí hoàn thành:
- Trang Confluence
Yêu cầu liên quan: —
Cần trước: —
ID kế hoạch: W6-M4-5</t>
  </si>
  <si>
    <t xml:space="preserve">Mục tiêu/Tiêu chí hoàn thành:
- Chính sách đọc từ cấu hình
Yêu cầu liên quan: FR-33
Cần trước: —
ID kế hoạch: W6-M4-6</t>
  </si>
  <si>
    <t xml:space="preserve">Mục tiêu/Tiêu chí hoàn thành:
- Biểu đồ số liệu thật
Yêu cầu liên quan: FR-35,FR-36
Cần trước: analytics API (M3, Thứ Tư)
ID kế hoạch: W6-M5-1</t>
  </si>
  <si>
    <t xml:space="preserve">Mục tiêu/Tiêu chí hoàn thành:
- Sửa ngưỡng và chính sách trên web
Yêu cầu liên quan: FR-33
Cần trước: API cấu hình AI (M1)
ID kế hoạch: W6-M5-2</t>
  </si>
  <si>
    <t xml:space="preserve">Mục tiêu/Tiêu chí hoàn thành:
- Lọc và xem log
Yêu cầu liên quan: FR-37
Cần trước: —
ID kế hoạch: W6-M5-3</t>
  </si>
  <si>
    <t xml:space="preserve">Mục tiêu/Tiêu chí hoàn thành:
- Kiểm tra 3 kích thước; không vỡ bố cục
Yêu cầu liên quan: NFR-13
Cần trước: —
ID kế hoạch: W6-M5-4</t>
  </si>
  <si>
    <t xml:space="preserve">Mục tiêu/Tiêu chí hoàn thành:
- Upload và xem kết quả ≤3 click
Yêu cầu liên quan: NFR-14
Cần trước: —
ID kế hoạch: W6-M5-5</t>
  </si>
  <si>
    <t xml:space="preserve">Mục tiêu/Tiêu chí hoàn thành:
- Danh sách lỗi đã đóng
Yêu cầu liên quan: —
Cần trước: —
ID kế hoạch: W6-M5-6</t>
  </si>
  <si>
    <t xml:space="preserve">Mục tiêu/Tiêu chí hoàn thành:
- Không lỗi chặn
Yêu cầu liên quan: —
Cần trước: —
ID kế hoạch: W6-M5-7</t>
  </si>
  <si>
    <t xml:space="preserve">W7</t>
  </si>
  <si>
    <t xml:space="preserve">Mục tiêu/Tiêu chí hoàn thành:
- Production chạy tag v1.0-rc
Yêu cầu liên quan: NFR-4
Cần trước: Feature freeze (T6)
ID kế hoạch: W7-M1-1</t>
  </si>
  <si>
    <t xml:space="preserve">Mục tiêu/Tiêu chí hoàn thành:
- Số liệu đạt hoặc có giải trình: ≤20s/ảnh, 100 ảnh/batch, &lt;3s tải, nhiều người dùng song song
Yêu cầu liên quan: NFR-1,NFR-2,NFR-3,NFR-8
Cần trước: —
ID kế hoạch: W7-M1-2</t>
  </si>
  <si>
    <t xml:space="preserve">Mục tiêu/Tiêu chí hoàn thành:
- Không lỗ hổng Critical/High
Yêu cầu liên quan: NFR-9,NFR-12
Cần trước: —
ID kế hoạch: W7-M1-3</t>
  </si>
  <si>
    <t xml:space="preserve">Mục tiêu/Tiêu chí hoàn thành:
- Restore thành công; uptime ghi nhận
Yêu cầu liên quan: NFR-4,NFR-6
Cần trước: —
ID kế hoạch: W7-M1-4</t>
  </si>
  <si>
    <t xml:space="preserve">Mục tiêu/Tiêu chí hoàn thành:
- Hướng dẫn cài từ đầu
Yêu cầu liên quan: —
Cần trước: —
ID kế hoạch: W7-M1-5</t>
  </si>
  <si>
    <t xml:space="preserve">Mục tiêu/Tiêu chí hoàn thành:
- Test chạy trên CI
Yêu cầu liên quan: —
Cần trước: —
ID kế hoạch: W7-M2-1</t>
  </si>
  <si>
    <t xml:space="preserve">Mục tiêu/Tiêu chí hoàn thành:
- Lỗi Critical/High đã đóng
Yêu cầu liên quan: —
Cần trước: —
ID kế hoạch: W7-M2-2</t>
  </si>
  <si>
    <t xml:space="preserve">Mục tiêu/Tiêu chí hoàn thành:
- Đủ mọi service
Yêu cầu liên quan: —
Cần trước: —
ID kế hoạch: W7-M2-3</t>
  </si>
  <si>
    <t xml:space="preserve">Mục tiêu/Tiêu chí hoàn thành:
- Khớp hệ thống thật
Yêu cầu liên quan: —
Cần trước: —
ID kế hoạch: W7-M2-4</t>
  </si>
  <si>
    <t xml:space="preserve">Mục tiêu/Tiêu chí hoàn thành:
- Duyệt bởi nhóm
Yêu cầu liên quan: —
Cần trước: —
ID kế hoạch: W7-M3-1</t>
  </si>
  <si>
    <t xml:space="preserve">24h</t>
  </si>
  <si>
    <t xml:space="preserve">Mục tiêu/Tiêu chí hoàn thành:
- Mỗi FR có ≥1 test case; kết quả pass/fail ghi lại
Yêu cầu liên quan: FR-1:39
Cần trước: —
ID kế hoạch: W7-M3-2</t>
  </si>
  <si>
    <t xml:space="preserve">Mục tiêu/Tiêu chí hoàn thành:
- 3 kịch bản demo chạy trơn
Yêu cầu liên quan: —
Cần trước: —
ID kế hoạch: W7-M3-3</t>
  </si>
  <si>
    <t xml:space="preserve">Mục tiêu/Tiêu chí hoàn thành:
- Mọi bug có mức độ và người xử lý
Yêu cầu liên quan: —
Cần trước: —
ID kế hoạch: W7-M3-4</t>
  </si>
  <si>
    <t xml:space="preserve">Mục tiêu/Tiêu chí hoàn thành:
- Không lỗi tái phát
Yêu cầu liên quan: —
Cần trước: —
ID kế hoạch: W7-M3-5</t>
  </si>
  <si>
    <t xml:space="preserve">Mục tiêu/Tiêu chí hoàn thành:
- AI sập→trả lỗi rõ, ảnh không mất
Yêu cầu liên quan: NFR-5
Cần trước: —
ID kế hoạch: W7-M4-1</t>
  </si>
  <si>
    <t xml:space="preserve">Mục tiêu/Tiêu chí hoàn thành:
- Nêu rõ dữ liệu, giới hạn, không dùng thay chẩn đoán
Yêu cầu liên quan: NFR-22,NFR-23
Cần trước: —
ID kế hoạch: W7-M4-2</t>
  </si>
  <si>
    <t xml:space="preserve">Mục tiêu/Tiêu chí hoàn thành:
- Người khác vận hành được
Yêu cầu liên quan: —
Cần trước: —
ID kế hoạch: W7-M4-3</t>
  </si>
  <si>
    <t xml:space="preserve">Mục tiêu/Tiêu chí hoàn thành:
- Lỗi Critical/High đã đóng
Yêu cầu liên quan: —
Cần trước: —
ID kế hoạch: W7-M4-4</t>
  </si>
  <si>
    <t xml:space="preserve">Mục tiêu/Tiêu chí hoàn thành:
- Hoàn chỉnh
Yêu cầu liên quan: —
Cần trước: —
ID kế hoạch: W7-M4-5</t>
  </si>
  <si>
    <t xml:space="preserve">Mục tiêu/Tiêu chí hoàn thành:
- Luồng Patient, Doctor, Clinic, Admin chạy tự động
Yêu cầu liên quan: —
Cần trước: —
ID kế hoạch: W7-M5-1</t>
  </si>
  <si>
    <t xml:space="preserve">18h</t>
  </si>
  <si>
    <t xml:space="preserve">Mục tiêu/Tiêu chí hoàn thành:
- Lỗi giao diện đã đóng
Yêu cầu liên quan: —
Cần trước: —
ID kế hoạch: W7-M5-2</t>
  </si>
  <si>
    <t xml:space="preserve">Mục tiêu/Tiêu chí hoàn thành:
- Đủ 4 vai trò
Yêu cầu liên quan: —
Cần trước: —
ID kế hoạch: W7-M5-3</t>
  </si>
  <si>
    <t xml:space="preserve">Mục tiêu/Tiêu chí hoàn thành:
- Tải &lt;3 giây
Yêu cầu liên quan: NFR-3
Cần trước: —
ID kế hoạch: W7-M5-4</t>
  </si>
  <si>
    <t xml:space="preserve">W8</t>
  </si>
  <si>
    <t xml:space="preserve">Mục tiêu/Tiêu chí hoàn thành:
- Không còn bug Critical/High
Yêu cầu liên quan: —
Cần trước: —
ID kế hoạch: W8-M1-1</t>
  </si>
  <si>
    <t xml:space="preserve">Mục tiêu/Tiêu chí hoàn thành:
- Tag, gói Docker, README
Yêu cầu liên quan: —
Cần trước: —
ID kế hoạch: W8-M1-2</t>
  </si>
  <si>
    <t xml:space="preserve">Mục tiêu/Tiêu chí hoàn thành:
- Người khác cài thành công
Yêu cầu liên quan: —
Cần trước: —
ID kế hoạch: W8-M1-3</t>
  </si>
  <si>
    <t xml:space="preserve">Mục tiêu/Tiêu chí hoàn thành:
- Trả lời được toàn hệ thống
Yêu cầu liên quan: —
Cần trước: —
ID kế hoạch: W8-M1-4</t>
  </si>
  <si>
    <t xml:space="preserve">Mục tiêu/Tiêu chí hoàn thành:
- Đủ tài liệu bắt buộc
Yêu cầu liên quan: —
Cần trước: —
ID kế hoạch: W8-M1-5</t>
  </si>
  <si>
    <t xml:space="preserve">Mục tiêu/Tiêu chí hoàn thành:
- Môi trường demo ổn định
Yêu cầu liên quan: —
Cần trước: —
ID kế hoạch: W8-M1-6</t>
  </si>
  <si>
    <t xml:space="preserve">Mục tiêu/Tiêu chí hoàn thành:
- Đóng bug được giao
Yêu cầu liên quan: —
Cần trước: —
ID kế hoạch: W8-M2-1</t>
  </si>
  <si>
    <t xml:space="preserve">Mục tiêu/Tiêu chí hoàn thành:
- SRS khớp hệ thống
Yêu cầu liên quan: —
Cần trước: —
ID kế hoạch: W8-M2-2</t>
  </si>
  <si>
    <t xml:space="preserve">Mục tiêu/Tiêu chí hoàn thành:
- Khớp mã nguồn
Yêu cầu liên quan: —
Cần trước: —
ID kế hoạch: W8-M2-3</t>
  </si>
  <si>
    <t xml:space="preserve">Mục tiêu/Tiêu chí hoàn thành:
- Giải thích được pattern đã dùng
Yêu cầu liên quan: —
Cần trước: —
ID kế hoạch: W8-M2-4</t>
  </si>
  <si>
    <t xml:space="preserve">Mục tiêu/Tiêu chí hoàn thành:
- Chạy trơn 3 lần
Yêu cầu liên quan: —
Cần trước: —
ID kế hoạch: W8-M2-5</t>
  </si>
  <si>
    <t xml:space="preserve">Mục tiêu/Tiêu chí hoàn thành:
- Kết quả test đầy đủ
Yêu cầu liên quan: —
Cần trước: —
ID kế hoạch: W8-M3-1</t>
  </si>
  <si>
    <t xml:space="preserve">Mục tiêu/Tiêu chí hoàn thành:
- Toàn bộ test case pass hoặc có giải trình
Yêu cầu liên quan: —
Cần trước: —
ID kế hoạch: W8-M3-2</t>
  </si>
  <si>
    <t xml:space="preserve">Mục tiêu/Tiêu chí hoàn thành:
- Đóng bug được giao
Yêu cầu liên quan: —
Cần trước: —
ID kế hoạch: W8-M3-3</t>
  </si>
  <si>
    <t xml:space="preserve">Mục tiêu/Tiêu chí hoàn thành:
- Không sai khác giữa tài liệu và hệ thống
Yêu cầu liên quan: —
Cần trước: —
ID kế hoạch: W8-M3-4</t>
  </si>
  <si>
    <t xml:space="preserve">Mục tiêu/Tiêu chí hoàn thành:
- ≥50 câu hỏi kèm đáp án
Yêu cầu liên quan: —
Cần trước: —
ID kế hoạch: W8-M3-5</t>
  </si>
  <si>
    <t xml:space="preserve">Mục tiêu/Tiêu chí hoàn thành:
- Đóng bug được giao
Yêu cầu liên quan: —
Cần trước: —
ID kế hoạch: W8-M4-1</t>
  </si>
  <si>
    <t xml:space="preserve">Mục tiêu/Tiêu chí hoàn thành:
- Báo cáo cuối
Yêu cầu liên quan: —
Cần trước: —
ID kế hoạch: W8-M4-2</t>
  </si>
  <si>
    <t xml:space="preserve">Mục tiêu/Tiêu chí hoàn thành:
- Chuyển mock bằng một biến môi trường
Yêu cầu liên quan: —
Cần trước: —
ID kế hoạch: W8-M4-3</t>
  </si>
  <si>
    <t xml:space="preserve">Mục tiêu/Tiêu chí hoàn thành:
- Giải thích được pipeline
Yêu cầu liên quan: —
Cần trước: —
ID kế hoạch: W8-M4-4</t>
  </si>
  <si>
    <t xml:space="preserve">Mục tiêu/Tiêu chí hoàn thành:
- Video quay đủ luồng chính
Yêu cầu liên quan: —
Cần trước: —
ID kế hoạch: W8-M4-5</t>
  </si>
  <si>
    <t xml:space="preserve">Mục tiêu/Tiêu chí hoàn thành:
- Đóng bug được giao
Yêu cầu liên quan: —
Cần trước: —
ID kế hoạch: W8-M5-1</t>
  </si>
  <si>
    <t xml:space="preserve">Mục tiêu/Tiêu chí hoàn thành:
- Khớp giao diện thật
Yêu cầu liên quan: —
Cần trước: —
ID kế hoạch: W8-M5-2</t>
  </si>
  <si>
    <t xml:space="preserve">Mục tiêu/Tiêu chí hoàn thành:
- Slide và kịch bản đã luyện
Yêu cầu liên quan: —
Cần trước: —
ID kế hoạch: W8-M5-3</t>
  </si>
  <si>
    <t xml:space="preserve">Mục tiêu/Tiêu chí hoàn thành:
- Giải thích được kiến trúc web
Yêu cầu liên quan: —
Cần trước: —
ID kế hoạch: W8-M5-4</t>
  </si>
  <si>
    <t xml:space="preserve">Mục tiêu/Tiêu chí hoàn thành:
- Desktop, tablet, mobile đều ổn
Yêu cầu liên quan: NFR-13
Cần trước: —
ID kế hoạch: W8-M5-5</t>
  </si>
  <si>
    <t xml:space="preserve">Ghi chú: (1) Bỏ SCRUM-15, SCRUM-16 đã tạo tay. (2) Cột Parent giả định Epic E1→E14 là SCRUM-1→SCRUM-14, hãy kiểm tra lại số khóa trên board. (3) Nếu Jira báo lỗi định dạng Original Estimate, đổi sang giây (giờ × 3600). (4) Nếu không import được Sprint, tạo task rồi kéo vào sprint.</t>
  </si>
  <si>
    <t xml:space="preserve">Tên</t>
  </si>
  <si>
    <t xml:space="preserve">Bắt đầu (MM/DD/YYYY)</t>
  </si>
  <si>
    <t xml:space="preserve">Kết thúc (MM/DD/YYYY)</t>
  </si>
  <si>
    <t xml:space="preserve">Mục tiêu</t>
  </si>
  <si>
    <t xml:space="preserve">10/05/2026</t>
  </si>
  <si>
    <t xml:space="preserve">10/11/2026</t>
  </si>
  <si>
    <t xml:space="preserve">Chốt phạm vi, dựng công cụ, SRS v0.1, kiến trúc v0.1, hợp đồng API AI</t>
  </si>
  <si>
    <t xml:space="preserve">10/12/2026</t>
  </si>
  <si>
    <t xml:space="preserve">10/18/2026</t>
  </si>
  <si>
    <t xml:space="preserve">Đăng nhập qua Gateway trên staging HTTPS; hồ sơ/clinic; AI v0.1</t>
  </si>
  <si>
    <t xml:space="preserve">10/19/2026</t>
  </si>
  <si>
    <t xml:space="preserve">10/25/2026</t>
  </si>
  <si>
    <t xml:space="preserve">Upload→Queue→AI→Kết quả; Billing trừ credit</t>
  </si>
  <si>
    <t xml:space="preserve">10/26/2026</t>
  </si>
  <si>
    <t xml:space="preserve">11/01/2026</t>
  </si>
  <si>
    <t xml:space="preserve">MVP: upload→AI→FCM→bác sĩ review→PDF (≥50% FR)</t>
  </si>
  <si>
    <t xml:space="preserve">11/02/2026</t>
  </si>
  <si>
    <t xml:space="preserve">11/08/2026</t>
  </si>
  <si>
    <t xml:space="preserve">Chat, VNPay sandbox, batch 100 ảnh, bảo mật, NiFi #2</t>
  </si>
  <si>
    <t xml:space="preserve">11/09/2026</t>
  </si>
  <si>
    <t xml:space="preserve">11/15/2026</t>
  </si>
  <si>
    <t xml:space="preserve">Admin, analytics-svc, NiFi #3, đủ 39 FR, feature freeze</t>
  </si>
  <si>
    <t xml:space="preserve">11/16/2026</t>
  </si>
  <si>
    <t xml:space="preserve">11/22/2026</t>
  </si>
  <si>
    <t xml:space="preserve">Test, hiệu năng, production, release candidate</t>
  </si>
  <si>
    <t xml:space="preserve">11/23/2026</t>
  </si>
  <si>
    <t xml:space="preserve">11/29/2026</t>
  </si>
  <si>
    <t xml:space="preserve">v1.0.0, tài liệu cuối, vấn đáp</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</si>
</sst>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0"/>
      <color rgb="FFFFFFFF"/>
      <name val="Arial"/>
      <family val="0"/>
      <charset val="1"/>
    </font>
    <font>
      <b val="true"/>
      <sz val="11"/>
      <color rgb="FFC00000"/>
      <name val="Arial"/>
      <family val="0"/>
      <charset val="1"/>
    </font>
    <font>
      <b val="true"/>
      <sz val="12"/>
      <color rgb="FF1F3864"/>
      <name val="Arial"/>
      <family val="0"/>
      <charset val="1"/>
    </font>
    <font>
      <b val="true"/>
      <sz val="10"/>
      <name val="Arial"/>
      <family val="0"/>
      <charset val="1"/>
    </font>
    <font>
      <sz val="10"/>
      <color rgb="FF0000FF"/>
      <name val="Arial"/>
      <family val="0"/>
      <charset val="1"/>
    </font>
    <font>
      <i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AF1FB"/>
        <bgColor rgb="FFFFFFFF"/>
      </patternFill>
    </fill>
    <fill>
      <patternFill patternType="solid">
        <fgColor rgb="FFFFFFFF"/>
        <bgColor rgb="FFEAF1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EAF1FB"/>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A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4" min="3" style="0" width="62"/>
    <col collapsed="false" customWidth="true" hidden="false" outlineLevel="0" max="5" min="5" style="0" width="26"/>
  </cols>
  <sheetData>
    <row r="1" customFormat="false" ht="17.35" hidden="false" customHeight="false" outlineLevel="0" collapsed="false">
      <c r="A1" s="1" t="s">
        <v>0</v>
      </c>
    </row>
    <row r="2" customFormat="false" ht="31.5" hidden="false" customHeight="true" outlineLevel="0" collapsed="false">
      <c r="A2" s="2" t="s">
        <v>1</v>
      </c>
      <c r="B2" s="2"/>
      <c r="C2" s="2"/>
      <c r="D2" s="2"/>
      <c r="E2" s="2"/>
    </row>
    <row r="4" customFormat="false" ht="15" hidden="false" customHeight="false" outlineLevel="0" collapsed="false">
      <c r="A4" s="3" t="s">
        <v>2</v>
      </c>
      <c r="B4" s="3" t="s">
        <v>3</v>
      </c>
      <c r="C4" s="3" t="s">
        <v>4</v>
      </c>
      <c r="D4" s="3" t="s">
        <v>5</v>
      </c>
      <c r="E4" s="3" t="s">
        <v>6</v>
      </c>
    </row>
    <row r="5" customFormat="false" ht="23.85" hidden="false" customHeight="false" outlineLevel="0" collapsed="false">
      <c r="A5" s="4" t="n">
        <v>1</v>
      </c>
      <c r="B5" s="4" t="s">
        <v>7</v>
      </c>
      <c r="C5" s="4" t="s">
        <v>8</v>
      </c>
      <c r="D5" s="4" t="s">
        <v>9</v>
      </c>
      <c r="E5" s="4" t="s">
        <v>10</v>
      </c>
    </row>
    <row r="6" customFormat="false" ht="57.45" hidden="false" customHeight="false" outlineLevel="0" collapsed="false">
      <c r="A6" s="5" t="n">
        <v>2</v>
      </c>
      <c r="B6" s="5" t="s">
        <v>7</v>
      </c>
      <c r="C6" s="5" t="s">
        <v>11</v>
      </c>
      <c r="D6" s="5" t="s">
        <v>12</v>
      </c>
      <c r="E6" s="5" t="s">
        <v>13</v>
      </c>
    </row>
    <row r="7" customFormat="false" ht="46.25" hidden="false" customHeight="false" outlineLevel="0" collapsed="false">
      <c r="A7" s="4" t="n">
        <v>3</v>
      </c>
      <c r="B7" s="4" t="s">
        <v>7</v>
      </c>
      <c r="C7" s="4" t="s">
        <v>14</v>
      </c>
      <c r="D7" s="4" t="s">
        <v>15</v>
      </c>
      <c r="E7" s="4" t="s">
        <v>16</v>
      </c>
    </row>
    <row r="8" customFormat="false" ht="35.05" hidden="false" customHeight="false" outlineLevel="0" collapsed="false">
      <c r="A8" s="5" t="n">
        <v>4</v>
      </c>
      <c r="B8" s="5" t="s">
        <v>7</v>
      </c>
      <c r="C8" s="5" t="s">
        <v>17</v>
      </c>
      <c r="D8" s="5" t="s">
        <v>18</v>
      </c>
      <c r="E8" s="5" t="s">
        <v>19</v>
      </c>
    </row>
    <row r="9" customFormat="false" ht="23.85" hidden="false" customHeight="false" outlineLevel="0" collapsed="false">
      <c r="A9" s="4" t="n">
        <v>5</v>
      </c>
      <c r="B9" s="4" t="s">
        <v>20</v>
      </c>
      <c r="C9" s="4" t="s">
        <v>21</v>
      </c>
      <c r="D9" s="4" t="s">
        <v>22</v>
      </c>
      <c r="E9" s="4" t="s">
        <v>23</v>
      </c>
    </row>
    <row r="10" customFormat="false" ht="35.05" hidden="false" customHeight="false" outlineLevel="0" collapsed="false">
      <c r="A10" s="5" t="n">
        <v>6</v>
      </c>
      <c r="B10" s="5" t="s">
        <v>7</v>
      </c>
      <c r="C10" s="5" t="s">
        <v>24</v>
      </c>
      <c r="D10" s="5" t="s">
        <v>25</v>
      </c>
      <c r="E10" s="5" t="s">
        <v>26</v>
      </c>
    </row>
    <row r="11" customFormat="false" ht="35.05" hidden="false" customHeight="false" outlineLevel="0" collapsed="false">
      <c r="A11" s="4" t="n">
        <v>7</v>
      </c>
      <c r="B11" s="4" t="s">
        <v>7</v>
      </c>
      <c r="C11" s="4" t="s">
        <v>27</v>
      </c>
      <c r="D11" s="4" t="s">
        <v>28</v>
      </c>
      <c r="E11" s="4" t="s">
        <v>29</v>
      </c>
    </row>
    <row r="12" customFormat="false" ht="23.85" hidden="false" customHeight="false" outlineLevel="0" collapsed="false">
      <c r="A12" s="5" t="n">
        <v>8</v>
      </c>
      <c r="B12" s="5" t="s">
        <v>20</v>
      </c>
      <c r="C12" s="5" t="s">
        <v>30</v>
      </c>
      <c r="D12" s="5" t="s">
        <v>31</v>
      </c>
      <c r="E12" s="5" t="s">
        <v>32</v>
      </c>
    </row>
    <row r="13" customFormat="false" ht="23.85" hidden="false" customHeight="false" outlineLevel="0" collapsed="false">
      <c r="A13" s="4" t="n">
        <v>9</v>
      </c>
      <c r="B13" s="4" t="s">
        <v>7</v>
      </c>
      <c r="C13" s="4" t="s">
        <v>33</v>
      </c>
      <c r="D13" s="4" t="s">
        <v>34</v>
      </c>
      <c r="E13" s="4" t="s">
        <v>35</v>
      </c>
    </row>
    <row r="14" customFormat="false" ht="23.85" hidden="false" customHeight="false" outlineLevel="0" collapsed="false">
      <c r="A14" s="5" t="n">
        <v>10</v>
      </c>
      <c r="B14" s="5" t="s">
        <v>20</v>
      </c>
      <c r="C14" s="5" t="s">
        <v>36</v>
      </c>
      <c r="D14" s="5" t="s">
        <v>37</v>
      </c>
      <c r="E14" s="5" t="s">
        <v>38</v>
      </c>
    </row>
    <row r="15" customFormat="false" ht="15" hidden="false" customHeight="false" outlineLevel="0" collapsed="false">
      <c r="A15" s="4" t="n">
        <v>11</v>
      </c>
      <c r="B15" s="4" t="s">
        <v>20</v>
      </c>
      <c r="C15" s="4" t="s">
        <v>39</v>
      </c>
      <c r="D15" s="4" t="s">
        <v>40</v>
      </c>
      <c r="E15" s="4" t="s">
        <v>41</v>
      </c>
    </row>
    <row r="16" customFormat="false" ht="15" hidden="false" customHeight="false" outlineLevel="0" collapsed="false">
      <c r="A16" s="5" t="n">
        <v>12</v>
      </c>
      <c r="B16" s="5" t="s">
        <v>20</v>
      </c>
      <c r="C16" s="5" t="s">
        <v>42</v>
      </c>
      <c r="D16" s="5" t="s">
        <v>43</v>
      </c>
      <c r="E16" s="5" t="s">
        <v>44</v>
      </c>
    </row>
    <row r="17" customFormat="false" ht="15" hidden="false" customHeight="false" outlineLevel="0" collapsed="false">
      <c r="A17" s="4" t="n">
        <v>13</v>
      </c>
      <c r="B17" s="4" t="s">
        <v>20</v>
      </c>
      <c r="C17" s="4" t="s">
        <v>45</v>
      </c>
      <c r="D17" s="4" t="s">
        <v>46</v>
      </c>
      <c r="E17" s="4" t="s">
        <v>47</v>
      </c>
    </row>
    <row r="18" customFormat="false" ht="23.85" hidden="false" customHeight="false" outlineLevel="0" collapsed="false">
      <c r="A18" s="5" t="n">
        <v>14</v>
      </c>
      <c r="B18" s="5" t="s">
        <v>48</v>
      </c>
      <c r="C18" s="5" t="s">
        <v>49</v>
      </c>
      <c r="D18" s="5" t="s">
        <v>50</v>
      </c>
      <c r="E18" s="5" t="s">
        <v>51</v>
      </c>
    </row>
    <row r="19" customFormat="false" ht="23.85" hidden="false" customHeight="false" outlineLevel="0" collapsed="false">
      <c r="A19" s="4" t="n">
        <v>15</v>
      </c>
      <c r="B19" s="4" t="s">
        <v>48</v>
      </c>
      <c r="C19" s="4" t="s">
        <v>52</v>
      </c>
      <c r="D19" s="4" t="s">
        <v>53</v>
      </c>
      <c r="E19" s="4" t="s">
        <v>54</v>
      </c>
    </row>
    <row r="20" customFormat="false" ht="23.85" hidden="false" customHeight="false" outlineLevel="0" collapsed="false">
      <c r="A20" s="5" t="n">
        <v>16</v>
      </c>
      <c r="B20" s="5" t="s">
        <v>55</v>
      </c>
      <c r="C20" s="5" t="s">
        <v>56</v>
      </c>
      <c r="D20" s="5" t="s">
        <v>57</v>
      </c>
      <c r="E20" s="5" t="s">
        <v>58</v>
      </c>
    </row>
    <row r="22" customFormat="false" ht="15" hidden="false" customHeight="false" outlineLevel="0" collapsed="false">
      <c r="A22" s="6" t="s">
        <v>59</v>
      </c>
    </row>
    <row r="23" customFormat="false" ht="18" hidden="false" customHeight="true" outlineLevel="0" collapsed="false">
      <c r="B23" s="2" t="s">
        <v>60</v>
      </c>
      <c r="C23" s="2"/>
      <c r="D23" s="2"/>
    </row>
    <row r="24" customFormat="false" ht="18" hidden="false" customHeight="true" outlineLevel="0" collapsed="false">
      <c r="B24" s="2" t="s">
        <v>61</v>
      </c>
      <c r="C24" s="2"/>
      <c r="D24" s="2"/>
    </row>
    <row r="25" customFormat="false" ht="18" hidden="false" customHeight="true" outlineLevel="0" collapsed="false">
      <c r="B25" s="2" t="s">
        <v>62</v>
      </c>
      <c r="C25" s="2"/>
      <c r="D25" s="2"/>
    </row>
    <row r="26" customFormat="false" ht="18" hidden="false" customHeight="true" outlineLevel="0" collapsed="false">
      <c r="B26" s="2" t="s">
        <v>63</v>
      </c>
      <c r="C26" s="2"/>
      <c r="D26" s="2"/>
    </row>
    <row r="27" customFormat="false" ht="18" hidden="false" customHeight="true" outlineLevel="0" collapsed="false">
      <c r="B27" s="2" t="s">
        <v>64</v>
      </c>
      <c r="C27" s="2"/>
      <c r="D27" s="2"/>
    </row>
  </sheetData>
  <mergeCells count="6">
    <mergeCell ref="A2:E2"/>
    <mergeCell ref="B23:D23"/>
    <mergeCell ref="B24:D24"/>
    <mergeCell ref="B25:D25"/>
    <mergeCell ref="B26:D26"/>
    <mergeCell ref="B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
    <col collapsed="false" customWidth="true" hidden="false" outlineLevel="0" max="3" min="3" style="0" width="7"/>
    <col collapsed="false" customWidth="true" hidden="false" outlineLevel="0" max="4" min="4" style="0" width="58"/>
    <col collapsed="false" customWidth="true" hidden="false" outlineLevel="0" max="5" min="5" style="0" width="22"/>
    <col collapsed="false" customWidth="true" hidden="false" outlineLevel="0" max="6" min="6" style="0" width="6"/>
    <col collapsed="false" customWidth="true" hidden="false" outlineLevel="0" max="7" min="7" style="0" width="18"/>
    <col collapsed="false" customWidth="true" hidden="false" outlineLevel="0" max="8" min="8" style="0" width="30"/>
    <col collapsed="false" customWidth="true" hidden="false" outlineLevel="0" max="9" min="9" style="0" width="52"/>
    <col collapsed="false" customWidth="true" hidden="false" outlineLevel="0" max="10" min="10" style="0" width="30"/>
    <col collapsed="false" customWidth="true" hidden="false" outlineLevel="0" max="11" min="11" style="0" width="10"/>
    <col collapsed="false" customWidth="true" hidden="true" outlineLevel="0" max="12" min="12" style="0" width="8"/>
  </cols>
  <sheetData>
    <row r="1" customFormat="false" ht="15" hidden="false" customHeight="false" outlineLevel="0" collapsed="false">
      <c r="A1" s="3" t="s">
        <v>65</v>
      </c>
      <c r="B1" s="3" t="s">
        <v>66</v>
      </c>
      <c r="C1" s="3" t="s">
        <v>67</v>
      </c>
      <c r="D1" s="3" t="s">
        <v>68</v>
      </c>
      <c r="E1" s="3" t="s">
        <v>69</v>
      </c>
      <c r="F1" s="3" t="s">
        <v>70</v>
      </c>
      <c r="G1" s="3" t="s">
        <v>71</v>
      </c>
      <c r="H1" s="3" t="s">
        <v>72</v>
      </c>
      <c r="I1" s="3" t="s">
        <v>73</v>
      </c>
      <c r="J1" s="3" t="s">
        <v>74</v>
      </c>
      <c r="K1" s="3" t="s">
        <v>75</v>
      </c>
      <c r="L1" s="3" t="s">
        <v>76</v>
      </c>
    </row>
    <row r="2" customFormat="false" ht="23.85" hidden="false" customHeight="false" outlineLevel="0" collapsed="false">
      <c r="A2" s="4" t="s">
        <v>77</v>
      </c>
      <c r="B2" s="4" t="n">
        <v>1</v>
      </c>
      <c r="C2" s="4" t="s">
        <v>78</v>
      </c>
      <c r="D2" s="4" t="s">
        <v>79</v>
      </c>
      <c r="E2" s="4" t="s">
        <v>80</v>
      </c>
      <c r="F2" s="4" t="n">
        <v>6</v>
      </c>
      <c r="G2" s="4"/>
      <c r="H2" s="4" t="s">
        <v>81</v>
      </c>
      <c r="I2" s="4" t="s">
        <v>82</v>
      </c>
      <c r="J2" s="4" t="s">
        <v>83</v>
      </c>
      <c r="K2" s="4" t="s">
        <v>84</v>
      </c>
      <c r="L2" s="4" t="s">
        <v>85</v>
      </c>
    </row>
    <row r="3" customFormat="false" ht="23.85" hidden="false" customHeight="false" outlineLevel="0" collapsed="false">
      <c r="A3" s="4" t="s">
        <v>86</v>
      </c>
      <c r="B3" s="4" t="n">
        <v>1</v>
      </c>
      <c r="C3" s="4" t="s">
        <v>78</v>
      </c>
      <c r="D3" s="4" t="s">
        <v>87</v>
      </c>
      <c r="E3" s="4" t="s">
        <v>80</v>
      </c>
      <c r="F3" s="4" t="n">
        <v>8</v>
      </c>
      <c r="G3" s="4" t="s">
        <v>88</v>
      </c>
      <c r="H3" s="4" t="s">
        <v>81</v>
      </c>
      <c r="I3" s="4" t="s">
        <v>89</v>
      </c>
      <c r="J3" s="4" t="s">
        <v>83</v>
      </c>
      <c r="K3" s="4" t="s">
        <v>84</v>
      </c>
      <c r="L3" s="4" t="s">
        <v>90</v>
      </c>
    </row>
    <row r="4" customFormat="false" ht="23.85" hidden="false" customHeight="false" outlineLevel="0" collapsed="false">
      <c r="A4" s="4" t="s">
        <v>91</v>
      </c>
      <c r="B4" s="4" t="n">
        <v>1</v>
      </c>
      <c r="C4" s="4" t="s">
        <v>78</v>
      </c>
      <c r="D4" s="4" t="s">
        <v>92</v>
      </c>
      <c r="E4" s="4" t="s">
        <v>93</v>
      </c>
      <c r="F4" s="4" t="n">
        <v>5</v>
      </c>
      <c r="G4" s="4"/>
      <c r="H4" s="4" t="s">
        <v>81</v>
      </c>
      <c r="I4" s="4" t="s">
        <v>94</v>
      </c>
      <c r="J4" s="4" t="s">
        <v>83</v>
      </c>
      <c r="K4" s="4" t="s">
        <v>84</v>
      </c>
      <c r="L4" s="4" t="s">
        <v>85</v>
      </c>
    </row>
    <row r="5" customFormat="false" ht="35.05" hidden="false" customHeight="false" outlineLevel="0" collapsed="false">
      <c r="A5" s="4" t="s">
        <v>95</v>
      </c>
      <c r="B5" s="4" t="n">
        <v>1</v>
      </c>
      <c r="C5" s="4" t="s">
        <v>78</v>
      </c>
      <c r="D5" s="4" t="s">
        <v>96</v>
      </c>
      <c r="E5" s="4" t="s">
        <v>93</v>
      </c>
      <c r="F5" s="4" t="n">
        <v>14</v>
      </c>
      <c r="G5" s="4" t="s">
        <v>97</v>
      </c>
      <c r="H5" s="4" t="s">
        <v>81</v>
      </c>
      <c r="I5" s="4" t="s">
        <v>98</v>
      </c>
      <c r="J5" s="4" t="s">
        <v>83</v>
      </c>
      <c r="K5" s="4" t="s">
        <v>84</v>
      </c>
      <c r="L5" s="4" t="s">
        <v>99</v>
      </c>
    </row>
    <row r="6" customFormat="false" ht="23.85" hidden="false" customHeight="false" outlineLevel="0" collapsed="false">
      <c r="A6" s="4" t="s">
        <v>100</v>
      </c>
      <c r="B6" s="4" t="n">
        <v>1</v>
      </c>
      <c r="C6" s="4" t="s">
        <v>78</v>
      </c>
      <c r="D6" s="4" t="s">
        <v>101</v>
      </c>
      <c r="E6" s="4" t="s">
        <v>80</v>
      </c>
      <c r="F6" s="4" t="n">
        <v>10</v>
      </c>
      <c r="G6" s="4" t="s">
        <v>102</v>
      </c>
      <c r="H6" s="4" t="s">
        <v>81</v>
      </c>
      <c r="I6" s="4" t="s">
        <v>103</v>
      </c>
      <c r="J6" s="4" t="s">
        <v>83</v>
      </c>
      <c r="K6" s="4" t="s">
        <v>84</v>
      </c>
      <c r="L6" s="4" t="s">
        <v>104</v>
      </c>
    </row>
    <row r="7" customFormat="false" ht="23.85" hidden="false" customHeight="false" outlineLevel="0" collapsed="false">
      <c r="A7" s="4" t="s">
        <v>105</v>
      </c>
      <c r="B7" s="4" t="n">
        <v>1</v>
      </c>
      <c r="C7" s="4" t="s">
        <v>78</v>
      </c>
      <c r="D7" s="4" t="s">
        <v>106</v>
      </c>
      <c r="E7" s="4" t="s">
        <v>80</v>
      </c>
      <c r="F7" s="4" t="n">
        <v>9</v>
      </c>
      <c r="G7" s="4" t="s">
        <v>88</v>
      </c>
      <c r="H7" s="4" t="s">
        <v>81</v>
      </c>
      <c r="I7" s="4" t="s">
        <v>107</v>
      </c>
      <c r="J7" s="4" t="s">
        <v>83</v>
      </c>
      <c r="K7" s="4" t="s">
        <v>84</v>
      </c>
      <c r="L7" s="4" t="s">
        <v>90</v>
      </c>
    </row>
    <row r="8" customFormat="false" ht="23.85" hidden="false" customHeight="false" outlineLevel="0" collapsed="false">
      <c r="A8" s="4" t="s">
        <v>108</v>
      </c>
      <c r="B8" s="4" t="n">
        <v>1</v>
      </c>
      <c r="C8" s="4" t="s">
        <v>109</v>
      </c>
      <c r="D8" s="4" t="s">
        <v>110</v>
      </c>
      <c r="E8" s="4" t="s">
        <v>93</v>
      </c>
      <c r="F8" s="4" t="n">
        <v>8</v>
      </c>
      <c r="G8" s="4"/>
      <c r="H8" s="4" t="s">
        <v>81</v>
      </c>
      <c r="I8" s="4" t="s">
        <v>111</v>
      </c>
      <c r="J8" s="4" t="s">
        <v>83</v>
      </c>
      <c r="K8" s="4" t="s">
        <v>112</v>
      </c>
      <c r="L8" s="4" t="s">
        <v>85</v>
      </c>
    </row>
    <row r="9" customFormat="false" ht="247.75" hidden="false" customHeight="false" outlineLevel="0" collapsed="false">
      <c r="A9" s="4" t="s">
        <v>113</v>
      </c>
      <c r="B9" s="4" t="n">
        <v>1</v>
      </c>
      <c r="C9" s="4" t="s">
        <v>109</v>
      </c>
      <c r="D9" s="4" t="s">
        <v>114</v>
      </c>
      <c r="E9" s="4" t="s">
        <v>93</v>
      </c>
      <c r="F9" s="4" t="n">
        <v>14</v>
      </c>
      <c r="G9" s="4" t="s">
        <v>115</v>
      </c>
      <c r="H9" s="4" t="s">
        <v>81</v>
      </c>
      <c r="I9" s="4" t="s">
        <v>116</v>
      </c>
      <c r="J9" s="4" t="s">
        <v>83</v>
      </c>
      <c r="K9" s="4" t="s">
        <v>112</v>
      </c>
      <c r="L9" s="4" t="s">
        <v>117</v>
      </c>
    </row>
    <row r="10" customFormat="false" ht="23.85" hidden="false" customHeight="false" outlineLevel="0" collapsed="false">
      <c r="A10" s="4" t="s">
        <v>118</v>
      </c>
      <c r="B10" s="4" t="n">
        <v>1</v>
      </c>
      <c r="C10" s="4" t="s">
        <v>109</v>
      </c>
      <c r="D10" s="4" t="s">
        <v>119</v>
      </c>
      <c r="E10" s="4" t="s">
        <v>93</v>
      </c>
      <c r="F10" s="4" t="n">
        <v>10</v>
      </c>
      <c r="G10" s="4"/>
      <c r="H10" s="4" t="s">
        <v>81</v>
      </c>
      <c r="I10" s="4" t="s">
        <v>120</v>
      </c>
      <c r="J10" s="4" t="s">
        <v>83</v>
      </c>
      <c r="K10" s="4" t="s">
        <v>112</v>
      </c>
      <c r="L10" s="4" t="s">
        <v>85</v>
      </c>
    </row>
    <row r="11" customFormat="false" ht="23.85" hidden="false" customHeight="false" outlineLevel="0" collapsed="false">
      <c r="A11" s="4" t="s">
        <v>121</v>
      </c>
      <c r="B11" s="4" t="n">
        <v>1</v>
      </c>
      <c r="C11" s="4" t="s">
        <v>109</v>
      </c>
      <c r="D11" s="4" t="s">
        <v>122</v>
      </c>
      <c r="E11" s="4" t="s">
        <v>123</v>
      </c>
      <c r="F11" s="4" t="n">
        <v>8</v>
      </c>
      <c r="G11" s="4" t="s">
        <v>124</v>
      </c>
      <c r="H11" s="4" t="s">
        <v>81</v>
      </c>
      <c r="I11" s="4" t="s">
        <v>125</v>
      </c>
      <c r="J11" s="4" t="s">
        <v>83</v>
      </c>
      <c r="K11" s="4" t="s">
        <v>112</v>
      </c>
      <c r="L11" s="4" t="s">
        <v>126</v>
      </c>
    </row>
    <row r="12" customFormat="false" ht="15" hidden="false" customHeight="false" outlineLevel="0" collapsed="false">
      <c r="A12" s="4" t="s">
        <v>127</v>
      </c>
      <c r="B12" s="4" t="n">
        <v>1</v>
      </c>
      <c r="C12" s="4" t="s">
        <v>109</v>
      </c>
      <c r="D12" s="4" t="s">
        <v>128</v>
      </c>
      <c r="E12" s="4" t="s">
        <v>123</v>
      </c>
      <c r="F12" s="4" t="n">
        <v>12</v>
      </c>
      <c r="G12" s="4"/>
      <c r="H12" s="4" t="s">
        <v>81</v>
      </c>
      <c r="I12" s="4" t="s">
        <v>129</v>
      </c>
      <c r="J12" s="4" t="s">
        <v>83</v>
      </c>
      <c r="K12" s="4" t="s">
        <v>112</v>
      </c>
      <c r="L12" s="4" t="s">
        <v>85</v>
      </c>
    </row>
    <row r="13" customFormat="false" ht="23.85" hidden="false" customHeight="false" outlineLevel="0" collapsed="false">
      <c r="A13" s="4" t="s">
        <v>130</v>
      </c>
      <c r="B13" s="4" t="n">
        <v>1</v>
      </c>
      <c r="C13" s="4" t="s">
        <v>131</v>
      </c>
      <c r="D13" s="4" t="s">
        <v>132</v>
      </c>
      <c r="E13" s="4" t="s">
        <v>93</v>
      </c>
      <c r="F13" s="4" t="n">
        <v>10</v>
      </c>
      <c r="G13" s="4" t="s">
        <v>133</v>
      </c>
      <c r="H13" s="4" t="s">
        <v>81</v>
      </c>
      <c r="I13" s="4" t="s">
        <v>134</v>
      </c>
      <c r="J13" s="4" t="s">
        <v>83</v>
      </c>
      <c r="K13" s="4" t="s">
        <v>135</v>
      </c>
      <c r="L13" s="4" t="s">
        <v>136</v>
      </c>
    </row>
    <row r="14" customFormat="false" ht="214.15" hidden="false" customHeight="false" outlineLevel="0" collapsed="false">
      <c r="A14" s="4" t="s">
        <v>137</v>
      </c>
      <c r="B14" s="4" t="n">
        <v>1</v>
      </c>
      <c r="C14" s="4" t="s">
        <v>131</v>
      </c>
      <c r="D14" s="4" t="s">
        <v>138</v>
      </c>
      <c r="E14" s="4" t="s">
        <v>93</v>
      </c>
      <c r="F14" s="4" t="n">
        <v>14</v>
      </c>
      <c r="G14" s="4" t="s">
        <v>139</v>
      </c>
      <c r="H14" s="4" t="s">
        <v>81</v>
      </c>
      <c r="I14" s="4" t="s">
        <v>140</v>
      </c>
      <c r="J14" s="4" t="s">
        <v>83</v>
      </c>
      <c r="K14" s="4" t="s">
        <v>135</v>
      </c>
      <c r="L14" s="4" t="s">
        <v>141</v>
      </c>
    </row>
    <row r="15" customFormat="false" ht="23.85" hidden="false" customHeight="false" outlineLevel="0" collapsed="false">
      <c r="A15" s="4" t="s">
        <v>142</v>
      </c>
      <c r="B15" s="4" t="n">
        <v>1</v>
      </c>
      <c r="C15" s="4" t="s">
        <v>131</v>
      </c>
      <c r="D15" s="4" t="s">
        <v>143</v>
      </c>
      <c r="E15" s="4" t="s">
        <v>93</v>
      </c>
      <c r="F15" s="4" t="n">
        <v>14</v>
      </c>
      <c r="G15" s="4"/>
      <c r="H15" s="4" t="s">
        <v>144</v>
      </c>
      <c r="I15" s="4" t="s">
        <v>145</v>
      </c>
      <c r="J15" s="4" t="s">
        <v>83</v>
      </c>
      <c r="K15" s="4" t="s">
        <v>135</v>
      </c>
      <c r="L15" s="4" t="s">
        <v>85</v>
      </c>
    </row>
    <row r="16" customFormat="false" ht="270.1" hidden="false" customHeight="false" outlineLevel="0" collapsed="false">
      <c r="A16" s="4" t="s">
        <v>146</v>
      </c>
      <c r="B16" s="4" t="n">
        <v>1</v>
      </c>
      <c r="C16" s="4" t="s">
        <v>131</v>
      </c>
      <c r="D16" s="4" t="s">
        <v>147</v>
      </c>
      <c r="E16" s="4" t="s">
        <v>148</v>
      </c>
      <c r="F16" s="4" t="n">
        <v>6</v>
      </c>
      <c r="G16" s="4" t="s">
        <v>149</v>
      </c>
      <c r="H16" s="4" t="s">
        <v>81</v>
      </c>
      <c r="I16" s="4" t="s">
        <v>150</v>
      </c>
      <c r="J16" s="4" t="s">
        <v>83</v>
      </c>
      <c r="K16" s="4" t="s">
        <v>135</v>
      </c>
      <c r="L16" s="4" t="s">
        <v>151</v>
      </c>
    </row>
    <row r="17" customFormat="false" ht="15" hidden="false" customHeight="false" outlineLevel="0" collapsed="false">
      <c r="A17" s="4" t="s">
        <v>152</v>
      </c>
      <c r="B17" s="4" t="n">
        <v>1</v>
      </c>
      <c r="C17" s="4" t="s">
        <v>131</v>
      </c>
      <c r="D17" s="4" t="s">
        <v>153</v>
      </c>
      <c r="E17" s="4" t="s">
        <v>93</v>
      </c>
      <c r="F17" s="4" t="n">
        <v>8</v>
      </c>
      <c r="G17" s="4"/>
      <c r="H17" s="4" t="s">
        <v>81</v>
      </c>
      <c r="I17" s="4" t="s">
        <v>154</v>
      </c>
      <c r="J17" s="4" t="s">
        <v>83</v>
      </c>
      <c r="K17" s="4" t="s">
        <v>135</v>
      </c>
      <c r="L17" s="4" t="s">
        <v>85</v>
      </c>
    </row>
    <row r="18" customFormat="false" ht="15" hidden="false" customHeight="false" outlineLevel="0" collapsed="false">
      <c r="A18" s="4" t="s">
        <v>155</v>
      </c>
      <c r="B18" s="4" t="n">
        <v>1</v>
      </c>
      <c r="C18" s="4" t="s">
        <v>156</v>
      </c>
      <c r="D18" s="4" t="s">
        <v>157</v>
      </c>
      <c r="E18" s="4" t="s">
        <v>158</v>
      </c>
      <c r="F18" s="4" t="n">
        <v>8</v>
      </c>
      <c r="G18" s="4"/>
      <c r="H18" s="4" t="s">
        <v>81</v>
      </c>
      <c r="I18" s="4" t="s">
        <v>159</v>
      </c>
      <c r="J18" s="4" t="s">
        <v>83</v>
      </c>
      <c r="K18" s="4" t="s">
        <v>160</v>
      </c>
      <c r="L18" s="4" t="s">
        <v>85</v>
      </c>
    </row>
    <row r="19" customFormat="false" ht="15" hidden="false" customHeight="false" outlineLevel="0" collapsed="false">
      <c r="A19" s="4" t="s">
        <v>161</v>
      </c>
      <c r="B19" s="4" t="n">
        <v>1</v>
      </c>
      <c r="C19" s="4" t="s">
        <v>156</v>
      </c>
      <c r="D19" s="4" t="s">
        <v>162</v>
      </c>
      <c r="E19" s="4" t="s">
        <v>158</v>
      </c>
      <c r="F19" s="4" t="n">
        <v>16</v>
      </c>
      <c r="G19" s="4" t="s">
        <v>163</v>
      </c>
      <c r="H19" s="4" t="s">
        <v>81</v>
      </c>
      <c r="I19" s="4" t="s">
        <v>164</v>
      </c>
      <c r="J19" s="4" t="s">
        <v>83</v>
      </c>
      <c r="K19" s="4" t="s">
        <v>160</v>
      </c>
      <c r="L19" s="4" t="s">
        <v>165</v>
      </c>
    </row>
    <row r="20" customFormat="false" ht="15" hidden="false" customHeight="false" outlineLevel="0" collapsed="false">
      <c r="A20" s="4" t="s">
        <v>166</v>
      </c>
      <c r="B20" s="4" t="n">
        <v>1</v>
      </c>
      <c r="C20" s="4" t="s">
        <v>156</v>
      </c>
      <c r="D20" s="4" t="s">
        <v>167</v>
      </c>
      <c r="E20" s="4" t="s">
        <v>158</v>
      </c>
      <c r="F20" s="4" t="n">
        <v>6</v>
      </c>
      <c r="G20" s="4" t="s">
        <v>168</v>
      </c>
      <c r="H20" s="4" t="s">
        <v>81</v>
      </c>
      <c r="I20" s="4" t="s">
        <v>169</v>
      </c>
      <c r="J20" s="4" t="s">
        <v>83</v>
      </c>
      <c r="K20" s="4" t="s">
        <v>160</v>
      </c>
      <c r="L20" s="4" t="s">
        <v>170</v>
      </c>
    </row>
    <row r="21" customFormat="false" ht="15" hidden="false" customHeight="false" outlineLevel="0" collapsed="false">
      <c r="A21" s="4" t="s">
        <v>171</v>
      </c>
      <c r="B21" s="4" t="n">
        <v>1</v>
      </c>
      <c r="C21" s="4" t="s">
        <v>156</v>
      </c>
      <c r="D21" s="4" t="s">
        <v>172</v>
      </c>
      <c r="E21" s="4" t="s">
        <v>158</v>
      </c>
      <c r="F21" s="4" t="n">
        <v>8</v>
      </c>
      <c r="G21" s="4" t="s">
        <v>168</v>
      </c>
      <c r="H21" s="4" t="s">
        <v>81</v>
      </c>
      <c r="I21" s="4" t="s">
        <v>173</v>
      </c>
      <c r="J21" s="4" t="s">
        <v>83</v>
      </c>
      <c r="K21" s="4" t="s">
        <v>160</v>
      </c>
      <c r="L21" s="4" t="s">
        <v>170</v>
      </c>
    </row>
    <row r="22" customFormat="false" ht="15" hidden="false" customHeight="false" outlineLevel="0" collapsed="false">
      <c r="A22" s="4" t="s">
        <v>174</v>
      </c>
      <c r="B22" s="4" t="n">
        <v>1</v>
      </c>
      <c r="C22" s="4" t="s">
        <v>156</v>
      </c>
      <c r="D22" s="4" t="s">
        <v>175</v>
      </c>
      <c r="E22" s="4" t="s">
        <v>176</v>
      </c>
      <c r="F22" s="4" t="n">
        <v>8</v>
      </c>
      <c r="G22" s="4"/>
      <c r="H22" s="4" t="s">
        <v>81</v>
      </c>
      <c r="I22" s="4" t="s">
        <v>177</v>
      </c>
      <c r="J22" s="4" t="s">
        <v>83</v>
      </c>
      <c r="K22" s="4" t="s">
        <v>160</v>
      </c>
      <c r="L22" s="4" t="s">
        <v>85</v>
      </c>
    </row>
    <row r="23" customFormat="false" ht="23.85" hidden="false" customHeight="false" outlineLevel="0" collapsed="false">
      <c r="A23" s="4" t="s">
        <v>178</v>
      </c>
      <c r="B23" s="4" t="n">
        <v>1</v>
      </c>
      <c r="C23" s="4" t="s">
        <v>156</v>
      </c>
      <c r="D23" s="4" t="s">
        <v>179</v>
      </c>
      <c r="E23" s="4" t="s">
        <v>158</v>
      </c>
      <c r="F23" s="4" t="n">
        <v>6</v>
      </c>
      <c r="G23" s="4" t="s">
        <v>180</v>
      </c>
      <c r="H23" s="4" t="s">
        <v>81</v>
      </c>
      <c r="I23" s="4" t="s">
        <v>181</v>
      </c>
      <c r="J23" s="4" t="s">
        <v>83</v>
      </c>
      <c r="K23" s="4" t="s">
        <v>160</v>
      </c>
      <c r="L23" s="4" t="s">
        <v>182</v>
      </c>
    </row>
    <row r="24" customFormat="false" ht="15" hidden="false" customHeight="false" outlineLevel="0" collapsed="false">
      <c r="A24" s="4" t="s">
        <v>183</v>
      </c>
      <c r="B24" s="4" t="n">
        <v>1</v>
      </c>
      <c r="C24" s="4" t="s">
        <v>184</v>
      </c>
      <c r="D24" s="4" t="s">
        <v>185</v>
      </c>
      <c r="E24" s="4" t="s">
        <v>186</v>
      </c>
      <c r="F24" s="4" t="n">
        <v>6</v>
      </c>
      <c r="G24" s="4" t="s">
        <v>187</v>
      </c>
      <c r="H24" s="4" t="s">
        <v>81</v>
      </c>
      <c r="I24" s="4" t="s">
        <v>188</v>
      </c>
      <c r="J24" s="4" t="s">
        <v>83</v>
      </c>
      <c r="K24" s="4" t="s">
        <v>189</v>
      </c>
      <c r="L24" s="4" t="s">
        <v>190</v>
      </c>
    </row>
    <row r="25" customFormat="false" ht="247.75" hidden="false" customHeight="false" outlineLevel="0" collapsed="false">
      <c r="A25" s="4" t="s">
        <v>191</v>
      </c>
      <c r="B25" s="4" t="n">
        <v>1</v>
      </c>
      <c r="C25" s="4" t="s">
        <v>184</v>
      </c>
      <c r="D25" s="4" t="s">
        <v>192</v>
      </c>
      <c r="E25" s="4" t="s">
        <v>186</v>
      </c>
      <c r="F25" s="4" t="n">
        <v>16</v>
      </c>
      <c r="G25" s="4" t="s">
        <v>115</v>
      </c>
      <c r="H25" s="4" t="s">
        <v>81</v>
      </c>
      <c r="I25" s="4" t="s">
        <v>193</v>
      </c>
      <c r="J25" s="4" t="s">
        <v>83</v>
      </c>
      <c r="K25" s="4" t="s">
        <v>189</v>
      </c>
      <c r="L25" s="4" t="s">
        <v>117</v>
      </c>
    </row>
    <row r="26" customFormat="false" ht="214.15" hidden="false" customHeight="false" outlineLevel="0" collapsed="false">
      <c r="A26" s="4" t="s">
        <v>194</v>
      </c>
      <c r="B26" s="4" t="n">
        <v>1</v>
      </c>
      <c r="C26" s="4" t="s">
        <v>184</v>
      </c>
      <c r="D26" s="4" t="s">
        <v>195</v>
      </c>
      <c r="E26" s="4" t="s">
        <v>186</v>
      </c>
      <c r="F26" s="4" t="n">
        <v>10</v>
      </c>
      <c r="G26" s="4" t="s">
        <v>139</v>
      </c>
      <c r="H26" s="4" t="s">
        <v>81</v>
      </c>
      <c r="I26" s="4" t="s">
        <v>196</v>
      </c>
      <c r="J26" s="4" t="s">
        <v>83</v>
      </c>
      <c r="K26" s="4" t="s">
        <v>189</v>
      </c>
      <c r="L26" s="4" t="s">
        <v>141</v>
      </c>
    </row>
    <row r="27" customFormat="false" ht="35.05" hidden="false" customHeight="false" outlineLevel="0" collapsed="false">
      <c r="A27" s="4" t="s">
        <v>197</v>
      </c>
      <c r="B27" s="4" t="n">
        <v>1</v>
      </c>
      <c r="C27" s="4" t="s">
        <v>184</v>
      </c>
      <c r="D27" s="4" t="s">
        <v>198</v>
      </c>
      <c r="E27" s="4" t="s">
        <v>186</v>
      </c>
      <c r="F27" s="4" t="n">
        <v>8</v>
      </c>
      <c r="G27" s="4" t="s">
        <v>199</v>
      </c>
      <c r="H27" s="4" t="s">
        <v>81</v>
      </c>
      <c r="I27" s="4" t="s">
        <v>200</v>
      </c>
      <c r="J27" s="4" t="s">
        <v>83</v>
      </c>
      <c r="K27" s="4" t="s">
        <v>189</v>
      </c>
      <c r="L27" s="4" t="s">
        <v>201</v>
      </c>
    </row>
    <row r="28" customFormat="false" ht="15" hidden="false" customHeight="false" outlineLevel="0" collapsed="false">
      <c r="A28" s="4" t="s">
        <v>202</v>
      </c>
      <c r="B28" s="4" t="n">
        <v>1</v>
      </c>
      <c r="C28" s="4" t="s">
        <v>184</v>
      </c>
      <c r="D28" s="4" t="s">
        <v>203</v>
      </c>
      <c r="E28" s="4" t="s">
        <v>186</v>
      </c>
      <c r="F28" s="4" t="n">
        <v>12</v>
      </c>
      <c r="G28" s="4" t="s">
        <v>88</v>
      </c>
      <c r="H28" s="4" t="s">
        <v>204</v>
      </c>
      <c r="I28" s="4" t="s">
        <v>205</v>
      </c>
      <c r="J28" s="4" t="s">
        <v>83</v>
      </c>
      <c r="K28" s="4" t="s">
        <v>189</v>
      </c>
      <c r="L28" s="4" t="s">
        <v>90</v>
      </c>
    </row>
    <row r="29" customFormat="false" ht="35.05" hidden="false" customHeight="false" outlineLevel="0" collapsed="false">
      <c r="A29" s="5" t="s">
        <v>206</v>
      </c>
      <c r="B29" s="5" t="n">
        <v>2</v>
      </c>
      <c r="C29" s="5" t="s">
        <v>78</v>
      </c>
      <c r="D29" s="5" t="s">
        <v>207</v>
      </c>
      <c r="E29" s="5" t="s">
        <v>208</v>
      </c>
      <c r="F29" s="5" t="n">
        <v>16</v>
      </c>
      <c r="G29" s="5" t="s">
        <v>209</v>
      </c>
      <c r="H29" s="5" t="s">
        <v>210</v>
      </c>
      <c r="I29" s="5" t="s">
        <v>211</v>
      </c>
      <c r="J29" s="5" t="s">
        <v>212</v>
      </c>
      <c r="K29" s="5" t="s">
        <v>213</v>
      </c>
      <c r="L29" s="5" t="s">
        <v>214</v>
      </c>
    </row>
    <row r="30" customFormat="false" ht="35.05" hidden="false" customHeight="false" outlineLevel="0" collapsed="false">
      <c r="A30" s="5" t="s">
        <v>215</v>
      </c>
      <c r="B30" s="5" t="n">
        <v>2</v>
      </c>
      <c r="C30" s="5" t="s">
        <v>78</v>
      </c>
      <c r="D30" s="5" t="s">
        <v>216</v>
      </c>
      <c r="E30" s="5" t="s">
        <v>80</v>
      </c>
      <c r="F30" s="5" t="n">
        <v>8</v>
      </c>
      <c r="G30" s="5" t="s">
        <v>217</v>
      </c>
      <c r="H30" s="5" t="s">
        <v>218</v>
      </c>
      <c r="I30" s="5" t="s">
        <v>219</v>
      </c>
      <c r="J30" s="5" t="s">
        <v>212</v>
      </c>
      <c r="K30" s="5" t="s">
        <v>213</v>
      </c>
      <c r="L30" s="5" t="s">
        <v>220</v>
      </c>
    </row>
    <row r="31" customFormat="false" ht="23.85" hidden="false" customHeight="false" outlineLevel="0" collapsed="false">
      <c r="A31" s="5" t="s">
        <v>221</v>
      </c>
      <c r="B31" s="5" t="n">
        <v>2</v>
      </c>
      <c r="C31" s="5" t="s">
        <v>78</v>
      </c>
      <c r="D31" s="5" t="s">
        <v>222</v>
      </c>
      <c r="E31" s="5" t="s">
        <v>80</v>
      </c>
      <c r="F31" s="5" t="n">
        <v>10</v>
      </c>
      <c r="G31" s="5" t="s">
        <v>88</v>
      </c>
      <c r="H31" s="5" t="s">
        <v>218</v>
      </c>
      <c r="I31" s="5" t="s">
        <v>223</v>
      </c>
      <c r="J31" s="5" t="s">
        <v>212</v>
      </c>
      <c r="K31" s="5" t="s">
        <v>213</v>
      </c>
      <c r="L31" s="5" t="s">
        <v>90</v>
      </c>
    </row>
    <row r="32" customFormat="false" ht="23.85" hidden="false" customHeight="false" outlineLevel="0" collapsed="false">
      <c r="A32" s="5" t="s">
        <v>224</v>
      </c>
      <c r="B32" s="5" t="n">
        <v>2</v>
      </c>
      <c r="C32" s="5" t="s">
        <v>78</v>
      </c>
      <c r="D32" s="5" t="s">
        <v>225</v>
      </c>
      <c r="E32" s="5" t="s">
        <v>80</v>
      </c>
      <c r="F32" s="5" t="n">
        <v>14</v>
      </c>
      <c r="G32" s="5" t="s">
        <v>226</v>
      </c>
      <c r="H32" s="5" t="s">
        <v>81</v>
      </c>
      <c r="I32" s="5" t="s">
        <v>227</v>
      </c>
      <c r="J32" s="5" t="s">
        <v>212</v>
      </c>
      <c r="K32" s="5" t="s">
        <v>213</v>
      </c>
      <c r="L32" s="5" t="s">
        <v>228</v>
      </c>
    </row>
    <row r="33" customFormat="false" ht="23.85" hidden="false" customHeight="false" outlineLevel="0" collapsed="false">
      <c r="A33" s="5" t="s">
        <v>229</v>
      </c>
      <c r="B33" s="5" t="n">
        <v>2</v>
      </c>
      <c r="C33" s="5" t="s">
        <v>78</v>
      </c>
      <c r="D33" s="5" t="s">
        <v>230</v>
      </c>
      <c r="E33" s="5" t="s">
        <v>80</v>
      </c>
      <c r="F33" s="5" t="n">
        <v>4</v>
      </c>
      <c r="G33" s="5" t="s">
        <v>168</v>
      </c>
      <c r="H33" s="5" t="s">
        <v>81</v>
      </c>
      <c r="I33" s="5" t="s">
        <v>231</v>
      </c>
      <c r="J33" s="5" t="s">
        <v>212</v>
      </c>
      <c r="K33" s="5" t="s">
        <v>213</v>
      </c>
      <c r="L33" s="5" t="s">
        <v>170</v>
      </c>
    </row>
    <row r="34" customFormat="false" ht="23.85" hidden="false" customHeight="false" outlineLevel="0" collapsed="false">
      <c r="A34" s="5" t="s">
        <v>232</v>
      </c>
      <c r="B34" s="5" t="n">
        <v>2</v>
      </c>
      <c r="C34" s="5" t="s">
        <v>109</v>
      </c>
      <c r="D34" s="5" t="s">
        <v>233</v>
      </c>
      <c r="E34" s="5" t="s">
        <v>208</v>
      </c>
      <c r="F34" s="5" t="n">
        <v>16</v>
      </c>
      <c r="G34" s="5" t="s">
        <v>234</v>
      </c>
      <c r="H34" s="5" t="s">
        <v>81</v>
      </c>
      <c r="I34" s="5" t="s">
        <v>235</v>
      </c>
      <c r="J34" s="5" t="s">
        <v>212</v>
      </c>
      <c r="K34" s="5" t="s">
        <v>236</v>
      </c>
      <c r="L34" s="5" t="s">
        <v>237</v>
      </c>
    </row>
    <row r="35" customFormat="false" ht="23.85" hidden="false" customHeight="false" outlineLevel="0" collapsed="false">
      <c r="A35" s="5" t="s">
        <v>54</v>
      </c>
      <c r="B35" s="5" t="n">
        <v>2</v>
      </c>
      <c r="C35" s="5" t="s">
        <v>109</v>
      </c>
      <c r="D35" s="5" t="s">
        <v>238</v>
      </c>
      <c r="E35" s="5" t="s">
        <v>208</v>
      </c>
      <c r="F35" s="5" t="n">
        <v>10</v>
      </c>
      <c r="G35" s="5" t="s">
        <v>234</v>
      </c>
      <c r="H35" s="5" t="s">
        <v>81</v>
      </c>
      <c r="I35" s="5" t="s">
        <v>239</v>
      </c>
      <c r="J35" s="5" t="s">
        <v>212</v>
      </c>
      <c r="K35" s="5" t="s">
        <v>236</v>
      </c>
      <c r="L35" s="5" t="s">
        <v>237</v>
      </c>
    </row>
    <row r="36" customFormat="false" ht="35.05" hidden="false" customHeight="false" outlineLevel="0" collapsed="false">
      <c r="A36" s="5" t="s">
        <v>240</v>
      </c>
      <c r="B36" s="5" t="n">
        <v>2</v>
      </c>
      <c r="C36" s="5" t="s">
        <v>109</v>
      </c>
      <c r="D36" s="5" t="s">
        <v>241</v>
      </c>
      <c r="E36" s="5" t="s">
        <v>208</v>
      </c>
      <c r="F36" s="5" t="n">
        <v>8</v>
      </c>
      <c r="G36" s="5" t="s">
        <v>242</v>
      </c>
      <c r="H36" s="5" t="s">
        <v>81</v>
      </c>
      <c r="I36" s="5" t="s">
        <v>243</v>
      </c>
      <c r="J36" s="5" t="s">
        <v>212</v>
      </c>
      <c r="K36" s="5" t="s">
        <v>236</v>
      </c>
      <c r="L36" s="5" t="s">
        <v>244</v>
      </c>
    </row>
    <row r="37" customFormat="false" ht="23.85" hidden="false" customHeight="false" outlineLevel="0" collapsed="false">
      <c r="A37" s="5" t="s">
        <v>245</v>
      </c>
      <c r="B37" s="5" t="n">
        <v>2</v>
      </c>
      <c r="C37" s="5" t="s">
        <v>109</v>
      </c>
      <c r="D37" s="5" t="s">
        <v>246</v>
      </c>
      <c r="E37" s="5" t="s">
        <v>208</v>
      </c>
      <c r="F37" s="5" t="n">
        <v>6</v>
      </c>
      <c r="G37" s="5" t="s">
        <v>234</v>
      </c>
      <c r="H37" s="5" t="s">
        <v>81</v>
      </c>
      <c r="I37" s="5" t="s">
        <v>247</v>
      </c>
      <c r="J37" s="5" t="s">
        <v>212</v>
      </c>
      <c r="K37" s="5" t="s">
        <v>236</v>
      </c>
      <c r="L37" s="5" t="s">
        <v>237</v>
      </c>
    </row>
    <row r="38" customFormat="false" ht="23.85" hidden="false" customHeight="false" outlineLevel="0" collapsed="false">
      <c r="A38" s="5" t="s">
        <v>248</v>
      </c>
      <c r="B38" s="5" t="n">
        <v>2</v>
      </c>
      <c r="C38" s="5" t="s">
        <v>109</v>
      </c>
      <c r="D38" s="5" t="s">
        <v>249</v>
      </c>
      <c r="E38" s="5" t="s">
        <v>208</v>
      </c>
      <c r="F38" s="5" t="n">
        <v>6</v>
      </c>
      <c r="G38" s="5"/>
      <c r="H38" s="5" t="s">
        <v>81</v>
      </c>
      <c r="I38" s="5" t="s">
        <v>250</v>
      </c>
      <c r="J38" s="5" t="s">
        <v>212</v>
      </c>
      <c r="K38" s="5" t="s">
        <v>236</v>
      </c>
      <c r="L38" s="5" t="s">
        <v>85</v>
      </c>
    </row>
    <row r="39" customFormat="false" ht="23.85" hidden="false" customHeight="false" outlineLevel="0" collapsed="false">
      <c r="A39" s="5" t="s">
        <v>251</v>
      </c>
      <c r="B39" s="5" t="n">
        <v>2</v>
      </c>
      <c r="C39" s="5" t="s">
        <v>109</v>
      </c>
      <c r="D39" s="5" t="s">
        <v>252</v>
      </c>
      <c r="E39" s="5" t="s">
        <v>93</v>
      </c>
      <c r="F39" s="5" t="n">
        <v>6</v>
      </c>
      <c r="G39" s="5"/>
      <c r="H39" s="5" t="s">
        <v>81</v>
      </c>
      <c r="I39" s="5" t="s">
        <v>253</v>
      </c>
      <c r="J39" s="5" t="s">
        <v>212</v>
      </c>
      <c r="K39" s="5" t="s">
        <v>236</v>
      </c>
      <c r="L39" s="5" t="s">
        <v>85</v>
      </c>
    </row>
    <row r="40" customFormat="false" ht="23.85" hidden="false" customHeight="false" outlineLevel="0" collapsed="false">
      <c r="A40" s="5" t="s">
        <v>254</v>
      </c>
      <c r="B40" s="5" t="n">
        <v>2</v>
      </c>
      <c r="C40" s="5" t="s">
        <v>131</v>
      </c>
      <c r="D40" s="5" t="s">
        <v>255</v>
      </c>
      <c r="E40" s="5" t="s">
        <v>256</v>
      </c>
      <c r="F40" s="5" t="n">
        <v>12</v>
      </c>
      <c r="G40" s="5" t="s">
        <v>257</v>
      </c>
      <c r="H40" s="5" t="s">
        <v>258</v>
      </c>
      <c r="I40" s="5" t="s">
        <v>259</v>
      </c>
      <c r="J40" s="5" t="s">
        <v>212</v>
      </c>
      <c r="K40" s="5" t="s">
        <v>260</v>
      </c>
      <c r="L40" s="5" t="s">
        <v>261</v>
      </c>
    </row>
    <row r="41" customFormat="false" ht="23.85" hidden="false" customHeight="false" outlineLevel="0" collapsed="false">
      <c r="A41" s="5" t="s">
        <v>262</v>
      </c>
      <c r="B41" s="5" t="n">
        <v>2</v>
      </c>
      <c r="C41" s="5" t="s">
        <v>131</v>
      </c>
      <c r="D41" s="5" t="s">
        <v>263</v>
      </c>
      <c r="E41" s="5" t="s">
        <v>256</v>
      </c>
      <c r="F41" s="5" t="n">
        <v>12</v>
      </c>
      <c r="G41" s="5" t="s">
        <v>264</v>
      </c>
      <c r="H41" s="5" t="s">
        <v>81</v>
      </c>
      <c r="I41" s="5" t="s">
        <v>265</v>
      </c>
      <c r="J41" s="5" t="s">
        <v>212</v>
      </c>
      <c r="K41" s="5" t="s">
        <v>260</v>
      </c>
      <c r="L41" s="5" t="s">
        <v>266</v>
      </c>
    </row>
    <row r="42" customFormat="false" ht="23.85" hidden="false" customHeight="false" outlineLevel="0" collapsed="false">
      <c r="A42" s="5" t="s">
        <v>267</v>
      </c>
      <c r="B42" s="5" t="n">
        <v>2</v>
      </c>
      <c r="C42" s="5" t="s">
        <v>131</v>
      </c>
      <c r="D42" s="5" t="s">
        <v>268</v>
      </c>
      <c r="E42" s="5" t="s">
        <v>256</v>
      </c>
      <c r="F42" s="5" t="n">
        <v>12</v>
      </c>
      <c r="G42" s="5" t="s">
        <v>269</v>
      </c>
      <c r="H42" s="5" t="s">
        <v>81</v>
      </c>
      <c r="I42" s="5" t="s">
        <v>270</v>
      </c>
      <c r="J42" s="5" t="s">
        <v>212</v>
      </c>
      <c r="K42" s="5" t="s">
        <v>260</v>
      </c>
      <c r="L42" s="5" t="s">
        <v>271</v>
      </c>
    </row>
    <row r="43" customFormat="false" ht="23.85" hidden="false" customHeight="false" outlineLevel="0" collapsed="false">
      <c r="A43" s="5" t="s">
        <v>272</v>
      </c>
      <c r="B43" s="5" t="n">
        <v>2</v>
      </c>
      <c r="C43" s="5" t="s">
        <v>131</v>
      </c>
      <c r="D43" s="5" t="s">
        <v>273</v>
      </c>
      <c r="E43" s="5" t="s">
        <v>256</v>
      </c>
      <c r="F43" s="5" t="n">
        <v>6</v>
      </c>
      <c r="G43" s="5" t="s">
        <v>274</v>
      </c>
      <c r="H43" s="5" t="s">
        <v>81</v>
      </c>
      <c r="I43" s="5" t="s">
        <v>275</v>
      </c>
      <c r="J43" s="5" t="s">
        <v>212</v>
      </c>
      <c r="K43" s="5" t="s">
        <v>260</v>
      </c>
      <c r="L43" s="5" t="s">
        <v>276</v>
      </c>
    </row>
    <row r="44" customFormat="false" ht="23.85" hidden="false" customHeight="false" outlineLevel="0" collapsed="false">
      <c r="A44" s="5" t="s">
        <v>277</v>
      </c>
      <c r="B44" s="5" t="n">
        <v>2</v>
      </c>
      <c r="C44" s="5" t="s">
        <v>131</v>
      </c>
      <c r="D44" s="5" t="s">
        <v>278</v>
      </c>
      <c r="E44" s="5" t="s">
        <v>256</v>
      </c>
      <c r="F44" s="5" t="n">
        <v>6</v>
      </c>
      <c r="G44" s="5"/>
      <c r="H44" s="5" t="s">
        <v>81</v>
      </c>
      <c r="I44" s="5" t="s">
        <v>279</v>
      </c>
      <c r="J44" s="5" t="s">
        <v>212</v>
      </c>
      <c r="K44" s="5" t="s">
        <v>260</v>
      </c>
      <c r="L44" s="5" t="s">
        <v>85</v>
      </c>
    </row>
    <row r="45" customFormat="false" ht="23.85" hidden="false" customHeight="false" outlineLevel="0" collapsed="false">
      <c r="A45" s="5" t="s">
        <v>280</v>
      </c>
      <c r="B45" s="5" t="n">
        <v>2</v>
      </c>
      <c r="C45" s="5" t="s">
        <v>131</v>
      </c>
      <c r="D45" s="5" t="s">
        <v>281</v>
      </c>
      <c r="E45" s="5" t="s">
        <v>93</v>
      </c>
      <c r="F45" s="5" t="n">
        <v>4</v>
      </c>
      <c r="G45" s="5"/>
      <c r="H45" s="5" t="s">
        <v>81</v>
      </c>
      <c r="I45" s="5" t="s">
        <v>282</v>
      </c>
      <c r="J45" s="5" t="s">
        <v>212</v>
      </c>
      <c r="K45" s="5" t="s">
        <v>260</v>
      </c>
      <c r="L45" s="5" t="s">
        <v>85</v>
      </c>
    </row>
    <row r="46" customFormat="false" ht="23.85" hidden="false" customHeight="false" outlineLevel="0" collapsed="false">
      <c r="A46" s="5" t="s">
        <v>283</v>
      </c>
      <c r="B46" s="5" t="n">
        <v>2</v>
      </c>
      <c r="C46" s="5" t="s">
        <v>156</v>
      </c>
      <c r="D46" s="5" t="s">
        <v>284</v>
      </c>
      <c r="E46" s="5" t="s">
        <v>158</v>
      </c>
      <c r="F46" s="5" t="n">
        <v>20</v>
      </c>
      <c r="G46" s="5" t="s">
        <v>163</v>
      </c>
      <c r="H46" s="5" t="s">
        <v>285</v>
      </c>
      <c r="I46" s="5" t="s">
        <v>286</v>
      </c>
      <c r="J46" s="5" t="s">
        <v>212</v>
      </c>
      <c r="K46" s="5" t="s">
        <v>287</v>
      </c>
      <c r="L46" s="5" t="s">
        <v>165</v>
      </c>
    </row>
    <row r="47" customFormat="false" ht="23.85" hidden="false" customHeight="false" outlineLevel="0" collapsed="false">
      <c r="A47" s="5" t="s">
        <v>288</v>
      </c>
      <c r="B47" s="5" t="n">
        <v>2</v>
      </c>
      <c r="C47" s="5" t="s">
        <v>156</v>
      </c>
      <c r="D47" s="5" t="s">
        <v>289</v>
      </c>
      <c r="E47" s="5" t="s">
        <v>158</v>
      </c>
      <c r="F47" s="5" t="n">
        <v>8</v>
      </c>
      <c r="G47" s="5" t="s">
        <v>290</v>
      </c>
      <c r="H47" s="5" t="s">
        <v>81</v>
      </c>
      <c r="I47" s="5" t="s">
        <v>291</v>
      </c>
      <c r="J47" s="5" t="s">
        <v>212</v>
      </c>
      <c r="K47" s="5" t="s">
        <v>287</v>
      </c>
      <c r="L47" s="5" t="s">
        <v>292</v>
      </c>
    </row>
    <row r="48" customFormat="false" ht="23.85" hidden="false" customHeight="false" outlineLevel="0" collapsed="false">
      <c r="A48" s="5" t="s">
        <v>293</v>
      </c>
      <c r="B48" s="5" t="n">
        <v>2</v>
      </c>
      <c r="C48" s="5" t="s">
        <v>156</v>
      </c>
      <c r="D48" s="5" t="s">
        <v>294</v>
      </c>
      <c r="E48" s="5" t="s">
        <v>158</v>
      </c>
      <c r="F48" s="5" t="n">
        <v>6</v>
      </c>
      <c r="G48" s="5" t="s">
        <v>168</v>
      </c>
      <c r="H48" s="5" t="s">
        <v>81</v>
      </c>
      <c r="I48" s="5" t="s">
        <v>295</v>
      </c>
      <c r="J48" s="5" t="s">
        <v>212</v>
      </c>
      <c r="K48" s="5" t="s">
        <v>287</v>
      </c>
      <c r="L48" s="5" t="s">
        <v>170</v>
      </c>
    </row>
    <row r="49" customFormat="false" ht="23.85" hidden="false" customHeight="false" outlineLevel="0" collapsed="false">
      <c r="A49" s="5" t="s">
        <v>296</v>
      </c>
      <c r="B49" s="5" t="n">
        <v>2</v>
      </c>
      <c r="C49" s="5" t="s">
        <v>156</v>
      </c>
      <c r="D49" s="5" t="s">
        <v>297</v>
      </c>
      <c r="E49" s="5" t="s">
        <v>158</v>
      </c>
      <c r="F49" s="5" t="n">
        <v>8</v>
      </c>
      <c r="G49" s="5"/>
      <c r="H49" s="5" t="s">
        <v>81</v>
      </c>
      <c r="I49" s="5" t="s">
        <v>298</v>
      </c>
      <c r="J49" s="5" t="s">
        <v>212</v>
      </c>
      <c r="K49" s="5" t="s">
        <v>287</v>
      </c>
      <c r="L49" s="5" t="s">
        <v>85</v>
      </c>
    </row>
    <row r="50" customFormat="false" ht="23.85" hidden="false" customHeight="false" outlineLevel="0" collapsed="false">
      <c r="A50" s="5" t="s">
        <v>299</v>
      </c>
      <c r="B50" s="5" t="n">
        <v>2</v>
      </c>
      <c r="C50" s="5" t="s">
        <v>156</v>
      </c>
      <c r="D50" s="5" t="s">
        <v>300</v>
      </c>
      <c r="E50" s="5" t="s">
        <v>158</v>
      </c>
      <c r="F50" s="5" t="n">
        <v>6</v>
      </c>
      <c r="G50" s="5" t="s">
        <v>180</v>
      </c>
      <c r="H50" s="5" t="s">
        <v>81</v>
      </c>
      <c r="I50" s="5" t="s">
        <v>301</v>
      </c>
      <c r="J50" s="5" t="s">
        <v>212</v>
      </c>
      <c r="K50" s="5" t="s">
        <v>287</v>
      </c>
      <c r="L50" s="5" t="s">
        <v>182</v>
      </c>
    </row>
    <row r="51" customFormat="false" ht="23.85" hidden="false" customHeight="false" outlineLevel="0" collapsed="false">
      <c r="A51" s="5" t="s">
        <v>302</v>
      </c>
      <c r="B51" s="5" t="n">
        <v>2</v>
      </c>
      <c r="C51" s="5" t="s">
        <v>156</v>
      </c>
      <c r="D51" s="5" t="s">
        <v>303</v>
      </c>
      <c r="E51" s="5" t="s">
        <v>176</v>
      </c>
      <c r="F51" s="5" t="n">
        <v>4</v>
      </c>
      <c r="G51" s="5"/>
      <c r="H51" s="5" t="s">
        <v>81</v>
      </c>
      <c r="I51" s="5" t="s">
        <v>304</v>
      </c>
      <c r="J51" s="5" t="s">
        <v>212</v>
      </c>
      <c r="K51" s="5" t="s">
        <v>287</v>
      </c>
      <c r="L51" s="5" t="s">
        <v>85</v>
      </c>
    </row>
    <row r="52" customFormat="false" ht="247.75" hidden="false" customHeight="false" outlineLevel="0" collapsed="false">
      <c r="A52" s="5" t="s">
        <v>305</v>
      </c>
      <c r="B52" s="5" t="n">
        <v>2</v>
      </c>
      <c r="C52" s="5" t="s">
        <v>184</v>
      </c>
      <c r="D52" s="5" t="s">
        <v>306</v>
      </c>
      <c r="E52" s="5" t="s">
        <v>186</v>
      </c>
      <c r="F52" s="5" t="n">
        <v>14</v>
      </c>
      <c r="G52" s="5" t="s">
        <v>115</v>
      </c>
      <c r="H52" s="5" t="s">
        <v>81</v>
      </c>
      <c r="I52" s="5" t="s">
        <v>307</v>
      </c>
      <c r="J52" s="5" t="s">
        <v>212</v>
      </c>
      <c r="K52" s="5" t="s">
        <v>308</v>
      </c>
      <c r="L52" s="5" t="s">
        <v>117</v>
      </c>
    </row>
    <row r="53" customFormat="false" ht="35.05" hidden="false" customHeight="false" outlineLevel="0" collapsed="false">
      <c r="A53" s="5" t="s">
        <v>309</v>
      </c>
      <c r="B53" s="5" t="n">
        <v>2</v>
      </c>
      <c r="C53" s="5" t="s">
        <v>184</v>
      </c>
      <c r="D53" s="5" t="s">
        <v>310</v>
      </c>
      <c r="E53" s="5" t="s">
        <v>186</v>
      </c>
      <c r="F53" s="5" t="n">
        <v>12</v>
      </c>
      <c r="G53" s="5" t="s">
        <v>311</v>
      </c>
      <c r="H53" s="5" t="s">
        <v>312</v>
      </c>
      <c r="I53" s="5" t="s">
        <v>313</v>
      </c>
      <c r="J53" s="5" t="s">
        <v>212</v>
      </c>
      <c r="K53" s="5" t="s">
        <v>308</v>
      </c>
      <c r="L53" s="5" t="s">
        <v>314</v>
      </c>
    </row>
    <row r="54" customFormat="false" ht="23.85" hidden="false" customHeight="false" outlineLevel="0" collapsed="false">
      <c r="A54" s="5" t="s">
        <v>315</v>
      </c>
      <c r="B54" s="5" t="n">
        <v>2</v>
      </c>
      <c r="C54" s="5" t="s">
        <v>184</v>
      </c>
      <c r="D54" s="5" t="s">
        <v>316</v>
      </c>
      <c r="E54" s="5" t="s">
        <v>186</v>
      </c>
      <c r="F54" s="5" t="n">
        <v>6</v>
      </c>
      <c r="G54" s="5"/>
      <c r="H54" s="5" t="s">
        <v>81</v>
      </c>
      <c r="I54" s="5" t="s">
        <v>317</v>
      </c>
      <c r="J54" s="5" t="s">
        <v>212</v>
      </c>
      <c r="K54" s="5" t="s">
        <v>308</v>
      </c>
      <c r="L54" s="5" t="s">
        <v>85</v>
      </c>
    </row>
    <row r="55" customFormat="false" ht="23.85" hidden="false" customHeight="false" outlineLevel="0" collapsed="false">
      <c r="A55" s="5" t="s">
        <v>318</v>
      </c>
      <c r="B55" s="5" t="n">
        <v>2</v>
      </c>
      <c r="C55" s="5" t="s">
        <v>184</v>
      </c>
      <c r="D55" s="5" t="s">
        <v>319</v>
      </c>
      <c r="E55" s="5" t="s">
        <v>186</v>
      </c>
      <c r="F55" s="5" t="n">
        <v>8</v>
      </c>
      <c r="G55" s="5" t="s">
        <v>187</v>
      </c>
      <c r="H55" s="5" t="s">
        <v>81</v>
      </c>
      <c r="I55" s="5" t="s">
        <v>320</v>
      </c>
      <c r="J55" s="5" t="s">
        <v>212</v>
      </c>
      <c r="K55" s="5" t="s">
        <v>308</v>
      </c>
      <c r="L55" s="5" t="s">
        <v>190</v>
      </c>
    </row>
    <row r="56" customFormat="false" ht="23.85" hidden="false" customHeight="false" outlineLevel="0" collapsed="false">
      <c r="A56" s="5" t="s">
        <v>321</v>
      </c>
      <c r="B56" s="5" t="n">
        <v>2</v>
      </c>
      <c r="C56" s="5" t="s">
        <v>184</v>
      </c>
      <c r="D56" s="5" t="s">
        <v>322</v>
      </c>
      <c r="E56" s="5" t="s">
        <v>186</v>
      </c>
      <c r="F56" s="5" t="n">
        <v>8</v>
      </c>
      <c r="G56" s="5" t="s">
        <v>257</v>
      </c>
      <c r="H56" s="5" t="s">
        <v>323</v>
      </c>
      <c r="I56" s="5" t="s">
        <v>324</v>
      </c>
      <c r="J56" s="5" t="s">
        <v>212</v>
      </c>
      <c r="K56" s="5" t="s">
        <v>308</v>
      </c>
      <c r="L56" s="5" t="s">
        <v>261</v>
      </c>
    </row>
    <row r="57" customFormat="false" ht="23.85" hidden="false" customHeight="false" outlineLevel="0" collapsed="false">
      <c r="A57" s="5" t="s">
        <v>325</v>
      </c>
      <c r="B57" s="5" t="n">
        <v>2</v>
      </c>
      <c r="C57" s="5" t="s">
        <v>184</v>
      </c>
      <c r="D57" s="5" t="s">
        <v>326</v>
      </c>
      <c r="E57" s="5" t="s">
        <v>186</v>
      </c>
      <c r="F57" s="5" t="n">
        <v>4</v>
      </c>
      <c r="G57" s="5" t="s">
        <v>327</v>
      </c>
      <c r="H57" s="5" t="s">
        <v>81</v>
      </c>
      <c r="I57" s="5" t="s">
        <v>328</v>
      </c>
      <c r="J57" s="5" t="s">
        <v>212</v>
      </c>
      <c r="K57" s="5" t="s">
        <v>308</v>
      </c>
      <c r="L57" s="5" t="s">
        <v>329</v>
      </c>
    </row>
    <row r="58" customFormat="false" ht="35.05" hidden="false" customHeight="false" outlineLevel="0" collapsed="false">
      <c r="A58" s="4" t="s">
        <v>330</v>
      </c>
      <c r="B58" s="4" t="n">
        <v>3</v>
      </c>
      <c r="C58" s="4" t="s">
        <v>78</v>
      </c>
      <c r="D58" s="4" t="s">
        <v>331</v>
      </c>
      <c r="E58" s="4" t="s">
        <v>123</v>
      </c>
      <c r="F58" s="4" t="n">
        <v>20</v>
      </c>
      <c r="G58" s="4" t="s">
        <v>332</v>
      </c>
      <c r="H58" s="4" t="s">
        <v>333</v>
      </c>
      <c r="I58" s="4" t="s">
        <v>334</v>
      </c>
      <c r="J58" s="4" t="s">
        <v>335</v>
      </c>
      <c r="K58" s="4" t="s">
        <v>336</v>
      </c>
      <c r="L58" s="4" t="s">
        <v>337</v>
      </c>
    </row>
    <row r="59" customFormat="false" ht="15" hidden="false" customHeight="false" outlineLevel="0" collapsed="false">
      <c r="A59" s="4" t="s">
        <v>338</v>
      </c>
      <c r="B59" s="4" t="n">
        <v>3</v>
      </c>
      <c r="C59" s="4" t="s">
        <v>78</v>
      </c>
      <c r="D59" s="4" t="s">
        <v>339</v>
      </c>
      <c r="E59" s="4" t="s">
        <v>123</v>
      </c>
      <c r="F59" s="4" t="n">
        <v>8</v>
      </c>
      <c r="G59" s="4" t="s">
        <v>290</v>
      </c>
      <c r="H59" s="4" t="s">
        <v>81</v>
      </c>
      <c r="I59" s="4" t="s">
        <v>340</v>
      </c>
      <c r="J59" s="4" t="s">
        <v>335</v>
      </c>
      <c r="K59" s="4" t="s">
        <v>336</v>
      </c>
      <c r="L59" s="4" t="s">
        <v>292</v>
      </c>
    </row>
    <row r="60" customFormat="false" ht="35.05" hidden="false" customHeight="false" outlineLevel="0" collapsed="false">
      <c r="A60" s="4" t="s">
        <v>341</v>
      </c>
      <c r="B60" s="4" t="n">
        <v>3</v>
      </c>
      <c r="C60" s="4" t="s">
        <v>78</v>
      </c>
      <c r="D60" s="4" t="s">
        <v>342</v>
      </c>
      <c r="E60" s="4" t="s">
        <v>123</v>
      </c>
      <c r="F60" s="4" t="n">
        <v>12</v>
      </c>
      <c r="G60" s="4" t="s">
        <v>343</v>
      </c>
      <c r="H60" s="4" t="s">
        <v>81</v>
      </c>
      <c r="I60" s="4" t="s">
        <v>344</v>
      </c>
      <c r="J60" s="4" t="s">
        <v>335</v>
      </c>
      <c r="K60" s="4" t="s">
        <v>336</v>
      </c>
      <c r="L60" s="4" t="s">
        <v>345</v>
      </c>
    </row>
    <row r="61" customFormat="false" ht="15" hidden="false" customHeight="false" outlineLevel="0" collapsed="false">
      <c r="A61" s="4" t="s">
        <v>346</v>
      </c>
      <c r="B61" s="4" t="n">
        <v>3</v>
      </c>
      <c r="C61" s="4" t="s">
        <v>78</v>
      </c>
      <c r="D61" s="4" t="s">
        <v>347</v>
      </c>
      <c r="E61" s="4" t="s">
        <v>148</v>
      </c>
      <c r="F61" s="4" t="n">
        <v>8</v>
      </c>
      <c r="G61" s="4" t="s">
        <v>348</v>
      </c>
      <c r="H61" s="4" t="s">
        <v>81</v>
      </c>
      <c r="I61" s="4" t="s">
        <v>349</v>
      </c>
      <c r="J61" s="4" t="s">
        <v>335</v>
      </c>
      <c r="K61" s="4" t="s">
        <v>336</v>
      </c>
      <c r="L61" s="4" t="s">
        <v>350</v>
      </c>
    </row>
    <row r="62" customFormat="false" ht="15" hidden="false" customHeight="false" outlineLevel="0" collapsed="false">
      <c r="A62" s="4" t="s">
        <v>351</v>
      </c>
      <c r="B62" s="4" t="n">
        <v>3</v>
      </c>
      <c r="C62" s="4" t="s">
        <v>78</v>
      </c>
      <c r="D62" s="4" t="s">
        <v>352</v>
      </c>
      <c r="E62" s="4" t="s">
        <v>80</v>
      </c>
      <c r="F62" s="4" t="n">
        <v>4</v>
      </c>
      <c r="G62" s="4"/>
      <c r="H62" s="4" t="s">
        <v>81</v>
      </c>
      <c r="I62" s="4" t="s">
        <v>353</v>
      </c>
      <c r="J62" s="4" t="s">
        <v>335</v>
      </c>
      <c r="K62" s="4" t="s">
        <v>336</v>
      </c>
      <c r="L62" s="4" t="s">
        <v>85</v>
      </c>
    </row>
    <row r="63" customFormat="false" ht="15" hidden="false" customHeight="false" outlineLevel="0" collapsed="false">
      <c r="A63" s="4" t="s">
        <v>354</v>
      </c>
      <c r="B63" s="4" t="n">
        <v>3</v>
      </c>
      <c r="C63" s="4" t="s">
        <v>109</v>
      </c>
      <c r="D63" s="4" t="s">
        <v>355</v>
      </c>
      <c r="E63" s="4" t="s">
        <v>123</v>
      </c>
      <c r="F63" s="4" t="n">
        <v>8</v>
      </c>
      <c r="G63" s="4"/>
      <c r="H63" s="4" t="s">
        <v>356</v>
      </c>
      <c r="I63" s="4" t="s">
        <v>357</v>
      </c>
      <c r="J63" s="4" t="s">
        <v>335</v>
      </c>
      <c r="K63" s="4" t="s">
        <v>358</v>
      </c>
      <c r="L63" s="4" t="s">
        <v>85</v>
      </c>
    </row>
    <row r="64" customFormat="false" ht="23.85" hidden="false" customHeight="false" outlineLevel="0" collapsed="false">
      <c r="A64" s="4" t="s">
        <v>359</v>
      </c>
      <c r="B64" s="4" t="n">
        <v>3</v>
      </c>
      <c r="C64" s="4" t="s">
        <v>109</v>
      </c>
      <c r="D64" s="4" t="s">
        <v>360</v>
      </c>
      <c r="E64" s="4" t="s">
        <v>123</v>
      </c>
      <c r="F64" s="4" t="n">
        <v>14</v>
      </c>
      <c r="G64" s="4" t="s">
        <v>361</v>
      </c>
      <c r="H64" s="4" t="s">
        <v>81</v>
      </c>
      <c r="I64" s="4" t="s">
        <v>362</v>
      </c>
      <c r="J64" s="4" t="s">
        <v>335</v>
      </c>
      <c r="K64" s="4" t="s">
        <v>358</v>
      </c>
      <c r="L64" s="4" t="s">
        <v>363</v>
      </c>
    </row>
    <row r="65" customFormat="false" ht="15" hidden="false" customHeight="false" outlineLevel="0" collapsed="false">
      <c r="A65" s="4" t="s">
        <v>364</v>
      </c>
      <c r="B65" s="4" t="n">
        <v>3</v>
      </c>
      <c r="C65" s="4" t="s">
        <v>109</v>
      </c>
      <c r="D65" s="4" t="s">
        <v>365</v>
      </c>
      <c r="E65" s="4" t="s">
        <v>123</v>
      </c>
      <c r="F65" s="4" t="n">
        <v>12</v>
      </c>
      <c r="G65" s="4" t="s">
        <v>348</v>
      </c>
      <c r="H65" s="4" t="s">
        <v>81</v>
      </c>
      <c r="I65" s="4" t="s">
        <v>366</v>
      </c>
      <c r="J65" s="4" t="s">
        <v>335</v>
      </c>
      <c r="K65" s="4" t="s">
        <v>358</v>
      </c>
      <c r="L65" s="4" t="s">
        <v>350</v>
      </c>
    </row>
    <row r="66" customFormat="false" ht="15" hidden="false" customHeight="false" outlineLevel="0" collapsed="false">
      <c r="A66" s="4" t="s">
        <v>367</v>
      </c>
      <c r="B66" s="4" t="n">
        <v>3</v>
      </c>
      <c r="C66" s="4" t="s">
        <v>109</v>
      </c>
      <c r="D66" s="4" t="s">
        <v>368</v>
      </c>
      <c r="E66" s="4" t="s">
        <v>123</v>
      </c>
      <c r="F66" s="4" t="n">
        <v>6</v>
      </c>
      <c r="G66" s="4"/>
      <c r="H66" s="4" t="s">
        <v>81</v>
      </c>
      <c r="I66" s="4" t="s">
        <v>369</v>
      </c>
      <c r="J66" s="4" t="s">
        <v>335</v>
      </c>
      <c r="K66" s="4" t="s">
        <v>358</v>
      </c>
      <c r="L66" s="4" t="s">
        <v>85</v>
      </c>
    </row>
    <row r="67" customFormat="false" ht="15" hidden="false" customHeight="false" outlineLevel="0" collapsed="false">
      <c r="A67" s="4" t="s">
        <v>370</v>
      </c>
      <c r="B67" s="4" t="n">
        <v>3</v>
      </c>
      <c r="C67" s="4" t="s">
        <v>109</v>
      </c>
      <c r="D67" s="4" t="s">
        <v>371</v>
      </c>
      <c r="E67" s="4" t="s">
        <v>372</v>
      </c>
      <c r="F67" s="4" t="n">
        <v>6</v>
      </c>
      <c r="G67" s="4" t="s">
        <v>373</v>
      </c>
      <c r="H67" s="4" t="s">
        <v>374</v>
      </c>
      <c r="I67" s="4" t="s">
        <v>375</v>
      </c>
      <c r="J67" s="4" t="s">
        <v>335</v>
      </c>
      <c r="K67" s="4" t="s">
        <v>358</v>
      </c>
      <c r="L67" s="4" t="s">
        <v>376</v>
      </c>
    </row>
    <row r="68" customFormat="false" ht="15" hidden="false" customHeight="false" outlineLevel="0" collapsed="false">
      <c r="A68" s="4" t="s">
        <v>377</v>
      </c>
      <c r="B68" s="4" t="n">
        <v>3</v>
      </c>
      <c r="C68" s="4" t="s">
        <v>109</v>
      </c>
      <c r="D68" s="4" t="s">
        <v>378</v>
      </c>
      <c r="E68" s="4" t="s">
        <v>123</v>
      </c>
      <c r="F68" s="4" t="n">
        <v>6</v>
      </c>
      <c r="G68" s="4"/>
      <c r="H68" s="4" t="s">
        <v>81</v>
      </c>
      <c r="I68" s="4" t="s">
        <v>279</v>
      </c>
      <c r="J68" s="4" t="s">
        <v>335</v>
      </c>
      <c r="K68" s="4" t="s">
        <v>358</v>
      </c>
      <c r="L68" s="4" t="s">
        <v>85</v>
      </c>
    </row>
    <row r="69" customFormat="false" ht="35.05" hidden="false" customHeight="false" outlineLevel="0" collapsed="false">
      <c r="A69" s="4" t="s">
        <v>379</v>
      </c>
      <c r="B69" s="4" t="n">
        <v>3</v>
      </c>
      <c r="C69" s="4" t="s">
        <v>131</v>
      </c>
      <c r="D69" s="4" t="s">
        <v>380</v>
      </c>
      <c r="E69" s="4" t="s">
        <v>372</v>
      </c>
      <c r="F69" s="4" t="n">
        <v>8</v>
      </c>
      <c r="G69" s="4" t="s">
        <v>381</v>
      </c>
      <c r="H69" s="4" t="s">
        <v>81</v>
      </c>
      <c r="I69" s="4" t="s">
        <v>382</v>
      </c>
      <c r="J69" s="4" t="s">
        <v>335</v>
      </c>
      <c r="K69" s="4" t="s">
        <v>383</v>
      </c>
      <c r="L69" s="4" t="s">
        <v>384</v>
      </c>
    </row>
    <row r="70" customFormat="false" ht="15" hidden="false" customHeight="false" outlineLevel="0" collapsed="false">
      <c r="A70" s="4" t="s">
        <v>385</v>
      </c>
      <c r="B70" s="4" t="n">
        <v>3</v>
      </c>
      <c r="C70" s="4" t="s">
        <v>131</v>
      </c>
      <c r="D70" s="4" t="s">
        <v>386</v>
      </c>
      <c r="E70" s="4" t="s">
        <v>372</v>
      </c>
      <c r="F70" s="4" t="n">
        <v>16</v>
      </c>
      <c r="G70" s="4" t="s">
        <v>373</v>
      </c>
      <c r="H70" s="4" t="s">
        <v>81</v>
      </c>
      <c r="I70" s="4" t="s">
        <v>387</v>
      </c>
      <c r="J70" s="4" t="s">
        <v>335</v>
      </c>
      <c r="K70" s="4" t="s">
        <v>383</v>
      </c>
      <c r="L70" s="4" t="s">
        <v>376</v>
      </c>
    </row>
    <row r="71" customFormat="false" ht="15" hidden="false" customHeight="false" outlineLevel="0" collapsed="false">
      <c r="A71" s="4" t="s">
        <v>388</v>
      </c>
      <c r="B71" s="4" t="n">
        <v>3</v>
      </c>
      <c r="C71" s="4" t="s">
        <v>131</v>
      </c>
      <c r="D71" s="4" t="s">
        <v>389</v>
      </c>
      <c r="E71" s="4" t="s">
        <v>372</v>
      </c>
      <c r="F71" s="4" t="n">
        <v>8</v>
      </c>
      <c r="G71" s="4" t="s">
        <v>390</v>
      </c>
      <c r="H71" s="4" t="s">
        <v>81</v>
      </c>
      <c r="I71" s="4" t="s">
        <v>391</v>
      </c>
      <c r="J71" s="4" t="s">
        <v>335</v>
      </c>
      <c r="K71" s="4" t="s">
        <v>383</v>
      </c>
      <c r="L71" s="4" t="s">
        <v>392</v>
      </c>
    </row>
    <row r="72" customFormat="false" ht="15" hidden="false" customHeight="false" outlineLevel="0" collapsed="false">
      <c r="A72" s="4" t="s">
        <v>393</v>
      </c>
      <c r="B72" s="4" t="n">
        <v>3</v>
      </c>
      <c r="C72" s="4" t="s">
        <v>131</v>
      </c>
      <c r="D72" s="4" t="s">
        <v>394</v>
      </c>
      <c r="E72" s="4" t="s">
        <v>372</v>
      </c>
      <c r="F72" s="4" t="n">
        <v>8</v>
      </c>
      <c r="G72" s="4" t="s">
        <v>373</v>
      </c>
      <c r="H72" s="4" t="s">
        <v>81</v>
      </c>
      <c r="I72" s="4" t="s">
        <v>395</v>
      </c>
      <c r="J72" s="4" t="s">
        <v>335</v>
      </c>
      <c r="K72" s="4" t="s">
        <v>383</v>
      </c>
      <c r="L72" s="4" t="s">
        <v>376</v>
      </c>
    </row>
    <row r="73" customFormat="false" ht="15" hidden="false" customHeight="false" outlineLevel="0" collapsed="false">
      <c r="A73" s="4" t="s">
        <v>396</v>
      </c>
      <c r="B73" s="4" t="n">
        <v>3</v>
      </c>
      <c r="C73" s="4" t="s">
        <v>131</v>
      </c>
      <c r="D73" s="4" t="s">
        <v>397</v>
      </c>
      <c r="E73" s="4" t="s">
        <v>372</v>
      </c>
      <c r="F73" s="4" t="n">
        <v>6</v>
      </c>
      <c r="G73" s="4"/>
      <c r="H73" s="4" t="s">
        <v>81</v>
      </c>
      <c r="I73" s="4" t="s">
        <v>398</v>
      </c>
      <c r="J73" s="4" t="s">
        <v>335</v>
      </c>
      <c r="K73" s="4" t="s">
        <v>383</v>
      </c>
      <c r="L73" s="4" t="s">
        <v>85</v>
      </c>
    </row>
    <row r="74" customFormat="false" ht="15" hidden="false" customHeight="false" outlineLevel="0" collapsed="false">
      <c r="A74" s="4" t="s">
        <v>399</v>
      </c>
      <c r="B74" s="4" t="n">
        <v>3</v>
      </c>
      <c r="C74" s="4" t="s">
        <v>131</v>
      </c>
      <c r="D74" s="4" t="s">
        <v>400</v>
      </c>
      <c r="E74" s="4" t="s">
        <v>93</v>
      </c>
      <c r="F74" s="4" t="n">
        <v>6</v>
      </c>
      <c r="G74" s="4"/>
      <c r="H74" s="4" t="s">
        <v>81</v>
      </c>
      <c r="I74" s="4" t="s">
        <v>401</v>
      </c>
      <c r="J74" s="4" t="s">
        <v>335</v>
      </c>
      <c r="K74" s="4" t="s">
        <v>383</v>
      </c>
      <c r="L74" s="4" t="s">
        <v>85</v>
      </c>
    </row>
    <row r="75" customFormat="false" ht="35.05" hidden="false" customHeight="false" outlineLevel="0" collapsed="false">
      <c r="A75" s="4" t="s">
        <v>402</v>
      </c>
      <c r="B75" s="4" t="n">
        <v>3</v>
      </c>
      <c r="C75" s="4" t="s">
        <v>156</v>
      </c>
      <c r="D75" s="4" t="s">
        <v>403</v>
      </c>
      <c r="E75" s="4" t="s">
        <v>158</v>
      </c>
      <c r="F75" s="4" t="n">
        <v>16</v>
      </c>
      <c r="G75" s="4" t="s">
        <v>404</v>
      </c>
      <c r="H75" s="4" t="s">
        <v>81</v>
      </c>
      <c r="I75" s="4" t="s">
        <v>405</v>
      </c>
      <c r="J75" s="4" t="s">
        <v>335</v>
      </c>
      <c r="K75" s="4" t="s">
        <v>406</v>
      </c>
      <c r="L75" s="4" t="s">
        <v>407</v>
      </c>
    </row>
    <row r="76" customFormat="false" ht="23.85" hidden="false" customHeight="false" outlineLevel="0" collapsed="false">
      <c r="A76" s="4" t="s">
        <v>408</v>
      </c>
      <c r="B76" s="4" t="n">
        <v>3</v>
      </c>
      <c r="C76" s="4" t="s">
        <v>156</v>
      </c>
      <c r="D76" s="4" t="s">
        <v>409</v>
      </c>
      <c r="E76" s="4" t="s">
        <v>158</v>
      </c>
      <c r="F76" s="4" t="n">
        <v>14</v>
      </c>
      <c r="G76" s="4" t="s">
        <v>410</v>
      </c>
      <c r="H76" s="4" t="s">
        <v>81</v>
      </c>
      <c r="I76" s="4" t="s">
        <v>411</v>
      </c>
      <c r="J76" s="4" t="s">
        <v>335</v>
      </c>
      <c r="K76" s="4" t="s">
        <v>406</v>
      </c>
      <c r="L76" s="4" t="s">
        <v>412</v>
      </c>
    </row>
    <row r="77" customFormat="false" ht="15" hidden="false" customHeight="false" outlineLevel="0" collapsed="false">
      <c r="A77" s="4" t="s">
        <v>413</v>
      </c>
      <c r="B77" s="4" t="n">
        <v>3</v>
      </c>
      <c r="C77" s="4" t="s">
        <v>156</v>
      </c>
      <c r="D77" s="4" t="s">
        <v>414</v>
      </c>
      <c r="E77" s="4" t="s">
        <v>158</v>
      </c>
      <c r="F77" s="4" t="n">
        <v>6</v>
      </c>
      <c r="G77" s="4" t="s">
        <v>290</v>
      </c>
      <c r="H77" s="4" t="s">
        <v>81</v>
      </c>
      <c r="I77" s="4" t="s">
        <v>415</v>
      </c>
      <c r="J77" s="4" t="s">
        <v>335</v>
      </c>
      <c r="K77" s="4" t="s">
        <v>406</v>
      </c>
      <c r="L77" s="4" t="s">
        <v>292</v>
      </c>
    </row>
    <row r="78" customFormat="false" ht="15" hidden="false" customHeight="false" outlineLevel="0" collapsed="false">
      <c r="A78" s="4" t="s">
        <v>416</v>
      </c>
      <c r="B78" s="4" t="n">
        <v>3</v>
      </c>
      <c r="C78" s="4" t="s">
        <v>156</v>
      </c>
      <c r="D78" s="4" t="s">
        <v>417</v>
      </c>
      <c r="E78" s="4" t="s">
        <v>158</v>
      </c>
      <c r="F78" s="4" t="n">
        <v>8</v>
      </c>
      <c r="G78" s="4" t="s">
        <v>180</v>
      </c>
      <c r="H78" s="4" t="s">
        <v>81</v>
      </c>
      <c r="I78" s="4" t="s">
        <v>418</v>
      </c>
      <c r="J78" s="4" t="s">
        <v>335</v>
      </c>
      <c r="K78" s="4" t="s">
        <v>406</v>
      </c>
      <c r="L78" s="4" t="s">
        <v>182</v>
      </c>
    </row>
    <row r="79" customFormat="false" ht="15" hidden="false" customHeight="false" outlineLevel="0" collapsed="false">
      <c r="A79" s="4" t="s">
        <v>419</v>
      </c>
      <c r="B79" s="4" t="n">
        <v>3</v>
      </c>
      <c r="C79" s="4" t="s">
        <v>156</v>
      </c>
      <c r="D79" s="4" t="s">
        <v>420</v>
      </c>
      <c r="E79" s="4" t="s">
        <v>158</v>
      </c>
      <c r="F79" s="4" t="n">
        <v>4</v>
      </c>
      <c r="G79" s="4" t="s">
        <v>421</v>
      </c>
      <c r="H79" s="4" t="s">
        <v>81</v>
      </c>
      <c r="I79" s="4" t="s">
        <v>422</v>
      </c>
      <c r="J79" s="4" t="s">
        <v>335</v>
      </c>
      <c r="K79" s="4" t="s">
        <v>406</v>
      </c>
      <c r="L79" s="4" t="s">
        <v>423</v>
      </c>
    </row>
    <row r="80" customFormat="false" ht="15" hidden="false" customHeight="false" outlineLevel="0" collapsed="false">
      <c r="A80" s="4" t="s">
        <v>424</v>
      </c>
      <c r="B80" s="4" t="n">
        <v>3</v>
      </c>
      <c r="C80" s="4" t="s">
        <v>156</v>
      </c>
      <c r="D80" s="4" t="s">
        <v>425</v>
      </c>
      <c r="E80" s="4" t="s">
        <v>158</v>
      </c>
      <c r="F80" s="4" t="n">
        <v>4</v>
      </c>
      <c r="G80" s="4"/>
      <c r="H80" s="4" t="s">
        <v>81</v>
      </c>
      <c r="I80" s="4" t="s">
        <v>426</v>
      </c>
      <c r="J80" s="4" t="s">
        <v>335</v>
      </c>
      <c r="K80" s="4" t="s">
        <v>406</v>
      </c>
      <c r="L80" s="4" t="s">
        <v>85</v>
      </c>
    </row>
    <row r="81" customFormat="false" ht="35.05" hidden="false" customHeight="false" outlineLevel="0" collapsed="false">
      <c r="A81" s="4" t="s">
        <v>427</v>
      </c>
      <c r="B81" s="4" t="n">
        <v>3</v>
      </c>
      <c r="C81" s="4" t="s">
        <v>184</v>
      </c>
      <c r="D81" s="4" t="s">
        <v>428</v>
      </c>
      <c r="E81" s="4" t="s">
        <v>186</v>
      </c>
      <c r="F81" s="4" t="n">
        <v>14</v>
      </c>
      <c r="G81" s="4" t="s">
        <v>429</v>
      </c>
      <c r="H81" s="4" t="s">
        <v>430</v>
      </c>
      <c r="I81" s="4" t="s">
        <v>431</v>
      </c>
      <c r="J81" s="4" t="s">
        <v>335</v>
      </c>
      <c r="K81" s="4" t="s">
        <v>432</v>
      </c>
      <c r="L81" s="4" t="s">
        <v>433</v>
      </c>
    </row>
    <row r="82" customFormat="false" ht="15" hidden="false" customHeight="false" outlineLevel="0" collapsed="false">
      <c r="A82" s="4" t="s">
        <v>434</v>
      </c>
      <c r="B82" s="4" t="n">
        <v>3</v>
      </c>
      <c r="C82" s="4" t="s">
        <v>184</v>
      </c>
      <c r="D82" s="4" t="s">
        <v>435</v>
      </c>
      <c r="E82" s="4" t="s">
        <v>186</v>
      </c>
      <c r="F82" s="4" t="n">
        <v>10</v>
      </c>
      <c r="G82" s="4" t="s">
        <v>436</v>
      </c>
      <c r="H82" s="4" t="s">
        <v>81</v>
      </c>
      <c r="I82" s="4" t="s">
        <v>437</v>
      </c>
      <c r="J82" s="4" t="s">
        <v>335</v>
      </c>
      <c r="K82" s="4" t="s">
        <v>432</v>
      </c>
      <c r="L82" s="4" t="s">
        <v>438</v>
      </c>
    </row>
    <row r="83" customFormat="false" ht="15" hidden="false" customHeight="false" outlineLevel="0" collapsed="false">
      <c r="A83" s="4" t="s">
        <v>439</v>
      </c>
      <c r="B83" s="4" t="n">
        <v>3</v>
      </c>
      <c r="C83" s="4" t="s">
        <v>184</v>
      </c>
      <c r="D83" s="4" t="s">
        <v>440</v>
      </c>
      <c r="E83" s="4" t="s">
        <v>186</v>
      </c>
      <c r="F83" s="4" t="n">
        <v>10</v>
      </c>
      <c r="G83" s="4" t="s">
        <v>163</v>
      </c>
      <c r="H83" s="4" t="s">
        <v>81</v>
      </c>
      <c r="I83" s="4" t="s">
        <v>441</v>
      </c>
      <c r="J83" s="4" t="s">
        <v>335</v>
      </c>
      <c r="K83" s="4" t="s">
        <v>432</v>
      </c>
      <c r="L83" s="4" t="s">
        <v>165</v>
      </c>
    </row>
    <row r="84" customFormat="false" ht="15" hidden="false" customHeight="false" outlineLevel="0" collapsed="false">
      <c r="A84" s="4" t="s">
        <v>442</v>
      </c>
      <c r="B84" s="4" t="n">
        <v>3</v>
      </c>
      <c r="C84" s="4" t="s">
        <v>184</v>
      </c>
      <c r="D84" s="4" t="s">
        <v>443</v>
      </c>
      <c r="E84" s="4" t="s">
        <v>186</v>
      </c>
      <c r="F84" s="4" t="n">
        <v>8</v>
      </c>
      <c r="G84" s="4" t="s">
        <v>163</v>
      </c>
      <c r="H84" s="4" t="s">
        <v>81</v>
      </c>
      <c r="I84" s="4" t="s">
        <v>444</v>
      </c>
      <c r="J84" s="4" t="s">
        <v>335</v>
      </c>
      <c r="K84" s="4" t="s">
        <v>432</v>
      </c>
      <c r="L84" s="4" t="s">
        <v>165</v>
      </c>
    </row>
    <row r="85" customFormat="false" ht="15" hidden="false" customHeight="false" outlineLevel="0" collapsed="false">
      <c r="A85" s="4" t="s">
        <v>445</v>
      </c>
      <c r="B85" s="4" t="n">
        <v>3</v>
      </c>
      <c r="C85" s="4" t="s">
        <v>184</v>
      </c>
      <c r="D85" s="4" t="s">
        <v>446</v>
      </c>
      <c r="E85" s="4" t="s">
        <v>186</v>
      </c>
      <c r="F85" s="4" t="n">
        <v>4</v>
      </c>
      <c r="G85" s="4" t="s">
        <v>447</v>
      </c>
      <c r="H85" s="4" t="s">
        <v>81</v>
      </c>
      <c r="I85" s="4" t="s">
        <v>448</v>
      </c>
      <c r="J85" s="4" t="s">
        <v>335</v>
      </c>
      <c r="K85" s="4" t="s">
        <v>432</v>
      </c>
      <c r="L85" s="4" t="s">
        <v>449</v>
      </c>
    </row>
    <row r="86" customFormat="false" ht="15" hidden="false" customHeight="false" outlineLevel="0" collapsed="false">
      <c r="A86" s="4" t="s">
        <v>450</v>
      </c>
      <c r="B86" s="4" t="n">
        <v>3</v>
      </c>
      <c r="C86" s="4" t="s">
        <v>184</v>
      </c>
      <c r="D86" s="4" t="s">
        <v>451</v>
      </c>
      <c r="E86" s="4" t="s">
        <v>148</v>
      </c>
      <c r="F86" s="4" t="n">
        <v>6</v>
      </c>
      <c r="G86" s="4" t="s">
        <v>187</v>
      </c>
      <c r="H86" s="4" t="s">
        <v>81</v>
      </c>
      <c r="I86" s="4" t="s">
        <v>452</v>
      </c>
      <c r="J86" s="4" t="s">
        <v>335</v>
      </c>
      <c r="K86" s="4" t="s">
        <v>432</v>
      </c>
      <c r="L86" s="4" t="s">
        <v>190</v>
      </c>
    </row>
    <row r="87" customFormat="false" ht="35.05" hidden="false" customHeight="false" outlineLevel="0" collapsed="false">
      <c r="A87" s="5" t="s">
        <v>453</v>
      </c>
      <c r="B87" s="5" t="n">
        <v>4</v>
      </c>
      <c r="C87" s="5" t="s">
        <v>78</v>
      </c>
      <c r="D87" s="5" t="s">
        <v>454</v>
      </c>
      <c r="E87" s="5" t="s">
        <v>455</v>
      </c>
      <c r="F87" s="5" t="n">
        <v>20</v>
      </c>
      <c r="G87" s="5" t="s">
        <v>456</v>
      </c>
      <c r="H87" s="5" t="s">
        <v>457</v>
      </c>
      <c r="I87" s="5" t="s">
        <v>458</v>
      </c>
      <c r="J87" s="5" t="s">
        <v>459</v>
      </c>
      <c r="K87" s="5" t="s">
        <v>460</v>
      </c>
      <c r="L87" s="5" t="s">
        <v>461</v>
      </c>
    </row>
    <row r="88" customFormat="false" ht="15" hidden="false" customHeight="false" outlineLevel="0" collapsed="false">
      <c r="A88" s="5" t="s">
        <v>38</v>
      </c>
      <c r="B88" s="5" t="n">
        <v>4</v>
      </c>
      <c r="C88" s="5" t="s">
        <v>78</v>
      </c>
      <c r="D88" s="5" t="s">
        <v>462</v>
      </c>
      <c r="E88" s="5" t="s">
        <v>455</v>
      </c>
      <c r="F88" s="5" t="n">
        <v>6</v>
      </c>
      <c r="G88" s="5" t="s">
        <v>463</v>
      </c>
      <c r="H88" s="5" t="s">
        <v>81</v>
      </c>
      <c r="I88" s="5" t="s">
        <v>464</v>
      </c>
      <c r="J88" s="5" t="s">
        <v>459</v>
      </c>
      <c r="K88" s="5" t="s">
        <v>460</v>
      </c>
      <c r="L88" s="5" t="s">
        <v>465</v>
      </c>
    </row>
    <row r="89" customFormat="false" ht="15" hidden="false" customHeight="false" outlineLevel="0" collapsed="false">
      <c r="A89" s="5" t="s">
        <v>466</v>
      </c>
      <c r="B89" s="5" t="n">
        <v>4</v>
      </c>
      <c r="C89" s="5" t="s">
        <v>78</v>
      </c>
      <c r="D89" s="5" t="s">
        <v>467</v>
      </c>
      <c r="E89" s="5" t="s">
        <v>208</v>
      </c>
      <c r="F89" s="5" t="n">
        <v>6</v>
      </c>
      <c r="G89" s="5" t="s">
        <v>168</v>
      </c>
      <c r="H89" s="5" t="s">
        <v>81</v>
      </c>
      <c r="I89" s="5" t="s">
        <v>468</v>
      </c>
      <c r="J89" s="5" t="s">
        <v>459</v>
      </c>
      <c r="K89" s="5" t="s">
        <v>460</v>
      </c>
      <c r="L89" s="5" t="s">
        <v>170</v>
      </c>
    </row>
    <row r="90" customFormat="false" ht="15" hidden="false" customHeight="false" outlineLevel="0" collapsed="false">
      <c r="A90" s="5" t="s">
        <v>469</v>
      </c>
      <c r="B90" s="5" t="n">
        <v>4</v>
      </c>
      <c r="C90" s="5" t="s">
        <v>78</v>
      </c>
      <c r="D90" s="5" t="s">
        <v>470</v>
      </c>
      <c r="E90" s="5" t="s">
        <v>80</v>
      </c>
      <c r="F90" s="5" t="n">
        <v>8</v>
      </c>
      <c r="G90" s="5"/>
      <c r="H90" s="5" t="s">
        <v>81</v>
      </c>
      <c r="I90" s="5" t="s">
        <v>471</v>
      </c>
      <c r="J90" s="5" t="s">
        <v>459</v>
      </c>
      <c r="K90" s="5" t="s">
        <v>460</v>
      </c>
      <c r="L90" s="5" t="s">
        <v>85</v>
      </c>
    </row>
    <row r="91" customFormat="false" ht="15" hidden="false" customHeight="false" outlineLevel="0" collapsed="false">
      <c r="A91" s="5" t="s">
        <v>41</v>
      </c>
      <c r="B91" s="5" t="n">
        <v>4</v>
      </c>
      <c r="C91" s="5" t="s">
        <v>78</v>
      </c>
      <c r="D91" s="5" t="s">
        <v>472</v>
      </c>
      <c r="E91" s="5" t="s">
        <v>80</v>
      </c>
      <c r="F91" s="5" t="n">
        <v>8</v>
      </c>
      <c r="G91" s="5" t="s">
        <v>473</v>
      </c>
      <c r="H91" s="5" t="s">
        <v>81</v>
      </c>
      <c r="I91" s="5" t="s">
        <v>474</v>
      </c>
      <c r="J91" s="5" t="s">
        <v>459</v>
      </c>
      <c r="K91" s="5" t="s">
        <v>460</v>
      </c>
      <c r="L91" s="5" t="s">
        <v>475</v>
      </c>
    </row>
    <row r="92" customFormat="false" ht="15" hidden="false" customHeight="false" outlineLevel="0" collapsed="false">
      <c r="A92" s="5" t="s">
        <v>476</v>
      </c>
      <c r="B92" s="5" t="n">
        <v>4</v>
      </c>
      <c r="C92" s="5" t="s">
        <v>78</v>
      </c>
      <c r="D92" s="5" t="s">
        <v>477</v>
      </c>
      <c r="E92" s="5" t="s">
        <v>80</v>
      </c>
      <c r="F92" s="5" t="n">
        <v>4</v>
      </c>
      <c r="G92" s="5"/>
      <c r="H92" s="5" t="s">
        <v>81</v>
      </c>
      <c r="I92" s="5" t="s">
        <v>478</v>
      </c>
      <c r="J92" s="5" t="s">
        <v>459</v>
      </c>
      <c r="K92" s="5" t="s">
        <v>460</v>
      </c>
      <c r="L92" s="5" t="s">
        <v>85</v>
      </c>
    </row>
    <row r="93" customFormat="false" ht="57.45" hidden="false" customHeight="false" outlineLevel="0" collapsed="false">
      <c r="A93" s="5" t="s">
        <v>479</v>
      </c>
      <c r="B93" s="5" t="n">
        <v>4</v>
      </c>
      <c r="C93" s="5" t="s">
        <v>109</v>
      </c>
      <c r="D93" s="5" t="s">
        <v>480</v>
      </c>
      <c r="E93" s="5" t="s">
        <v>455</v>
      </c>
      <c r="F93" s="5" t="n">
        <v>22</v>
      </c>
      <c r="G93" s="5" t="s">
        <v>481</v>
      </c>
      <c r="H93" s="5" t="s">
        <v>81</v>
      </c>
      <c r="I93" s="5" t="s">
        <v>482</v>
      </c>
      <c r="J93" s="5" t="s">
        <v>459</v>
      </c>
      <c r="K93" s="5" t="s">
        <v>483</v>
      </c>
      <c r="L93" s="5" t="s">
        <v>484</v>
      </c>
    </row>
    <row r="94" customFormat="false" ht="46.25" hidden="false" customHeight="false" outlineLevel="0" collapsed="false">
      <c r="A94" s="5" t="s">
        <v>485</v>
      </c>
      <c r="B94" s="5" t="n">
        <v>4</v>
      </c>
      <c r="C94" s="5" t="s">
        <v>109</v>
      </c>
      <c r="D94" s="5" t="s">
        <v>486</v>
      </c>
      <c r="E94" s="5" t="s">
        <v>455</v>
      </c>
      <c r="F94" s="5" t="n">
        <v>12</v>
      </c>
      <c r="G94" s="5" t="s">
        <v>487</v>
      </c>
      <c r="H94" s="5" t="s">
        <v>81</v>
      </c>
      <c r="I94" s="5" t="s">
        <v>488</v>
      </c>
      <c r="J94" s="5" t="s">
        <v>459</v>
      </c>
      <c r="K94" s="5" t="s">
        <v>483</v>
      </c>
      <c r="L94" s="5" t="s">
        <v>489</v>
      </c>
    </row>
    <row r="95" customFormat="false" ht="15" hidden="false" customHeight="false" outlineLevel="0" collapsed="false">
      <c r="A95" s="5" t="s">
        <v>490</v>
      </c>
      <c r="B95" s="5" t="n">
        <v>4</v>
      </c>
      <c r="C95" s="5" t="s">
        <v>109</v>
      </c>
      <c r="D95" s="5" t="s">
        <v>491</v>
      </c>
      <c r="E95" s="5" t="s">
        <v>455</v>
      </c>
      <c r="F95" s="5" t="n">
        <v>8</v>
      </c>
      <c r="G95" s="5" t="s">
        <v>492</v>
      </c>
      <c r="H95" s="5" t="s">
        <v>81</v>
      </c>
      <c r="I95" s="5" t="s">
        <v>493</v>
      </c>
      <c r="J95" s="5" t="s">
        <v>459</v>
      </c>
      <c r="K95" s="5" t="s">
        <v>483</v>
      </c>
      <c r="L95" s="5" t="s">
        <v>494</v>
      </c>
    </row>
    <row r="96" customFormat="false" ht="15" hidden="false" customHeight="false" outlineLevel="0" collapsed="false">
      <c r="A96" s="5" t="s">
        <v>495</v>
      </c>
      <c r="B96" s="5" t="n">
        <v>4</v>
      </c>
      <c r="C96" s="5" t="s">
        <v>109</v>
      </c>
      <c r="D96" s="5" t="s">
        <v>496</v>
      </c>
      <c r="E96" s="5" t="s">
        <v>455</v>
      </c>
      <c r="F96" s="5" t="n">
        <v>6</v>
      </c>
      <c r="G96" s="5"/>
      <c r="H96" s="5" t="s">
        <v>81</v>
      </c>
      <c r="I96" s="5" t="s">
        <v>279</v>
      </c>
      <c r="J96" s="5" t="s">
        <v>459</v>
      </c>
      <c r="K96" s="5" t="s">
        <v>483</v>
      </c>
      <c r="L96" s="5" t="s">
        <v>85</v>
      </c>
    </row>
    <row r="97" customFormat="false" ht="15" hidden="false" customHeight="false" outlineLevel="0" collapsed="false">
      <c r="A97" s="5" t="s">
        <v>497</v>
      </c>
      <c r="B97" s="5" t="n">
        <v>4</v>
      </c>
      <c r="C97" s="5" t="s">
        <v>109</v>
      </c>
      <c r="D97" s="5" t="s">
        <v>498</v>
      </c>
      <c r="E97" s="5" t="s">
        <v>148</v>
      </c>
      <c r="F97" s="5" t="n">
        <v>4</v>
      </c>
      <c r="G97" s="5"/>
      <c r="H97" s="5" t="s">
        <v>81</v>
      </c>
      <c r="I97" s="5" t="s">
        <v>499</v>
      </c>
      <c r="J97" s="5" t="s">
        <v>459</v>
      </c>
      <c r="K97" s="5" t="s">
        <v>483</v>
      </c>
      <c r="L97" s="5" t="s">
        <v>85</v>
      </c>
    </row>
    <row r="98" customFormat="false" ht="15" hidden="false" customHeight="false" outlineLevel="0" collapsed="false">
      <c r="A98" s="5" t="s">
        <v>500</v>
      </c>
      <c r="B98" s="5" t="n">
        <v>4</v>
      </c>
      <c r="C98" s="5" t="s">
        <v>131</v>
      </c>
      <c r="D98" s="5" t="s">
        <v>501</v>
      </c>
      <c r="E98" s="5" t="s">
        <v>502</v>
      </c>
      <c r="F98" s="5" t="n">
        <v>16</v>
      </c>
      <c r="G98" s="5" t="s">
        <v>447</v>
      </c>
      <c r="H98" s="5" t="s">
        <v>81</v>
      </c>
      <c r="I98" s="5" t="s">
        <v>503</v>
      </c>
      <c r="J98" s="5" t="s">
        <v>459</v>
      </c>
      <c r="K98" s="5" t="s">
        <v>504</v>
      </c>
      <c r="L98" s="5" t="s">
        <v>449</v>
      </c>
    </row>
    <row r="99" customFormat="false" ht="15" hidden="false" customHeight="false" outlineLevel="0" collapsed="false">
      <c r="A99" s="5" t="s">
        <v>505</v>
      </c>
      <c r="B99" s="5" t="n">
        <v>4</v>
      </c>
      <c r="C99" s="5" t="s">
        <v>131</v>
      </c>
      <c r="D99" s="5" t="s">
        <v>506</v>
      </c>
      <c r="E99" s="5" t="s">
        <v>502</v>
      </c>
      <c r="F99" s="5" t="n">
        <v>10</v>
      </c>
      <c r="G99" s="5" t="s">
        <v>447</v>
      </c>
      <c r="H99" s="5" t="s">
        <v>507</v>
      </c>
      <c r="I99" s="5" t="s">
        <v>508</v>
      </c>
      <c r="J99" s="5" t="s">
        <v>459</v>
      </c>
      <c r="K99" s="5" t="s">
        <v>504</v>
      </c>
      <c r="L99" s="5" t="s">
        <v>449</v>
      </c>
    </row>
    <row r="100" customFormat="false" ht="15" hidden="false" customHeight="false" outlineLevel="0" collapsed="false">
      <c r="A100" s="5" t="s">
        <v>509</v>
      </c>
      <c r="B100" s="5" t="n">
        <v>4</v>
      </c>
      <c r="C100" s="5" t="s">
        <v>131</v>
      </c>
      <c r="D100" s="5" t="s">
        <v>510</v>
      </c>
      <c r="E100" s="5" t="s">
        <v>502</v>
      </c>
      <c r="F100" s="5" t="n">
        <v>10</v>
      </c>
      <c r="G100" s="5" t="s">
        <v>447</v>
      </c>
      <c r="H100" s="5" t="s">
        <v>81</v>
      </c>
      <c r="I100" s="5" t="s">
        <v>511</v>
      </c>
      <c r="J100" s="5" t="s">
        <v>459</v>
      </c>
      <c r="K100" s="5" t="s">
        <v>504</v>
      </c>
      <c r="L100" s="5" t="s">
        <v>449</v>
      </c>
    </row>
    <row r="101" customFormat="false" ht="15" hidden="false" customHeight="false" outlineLevel="0" collapsed="false">
      <c r="A101" s="5" t="s">
        <v>512</v>
      </c>
      <c r="B101" s="5" t="n">
        <v>4</v>
      </c>
      <c r="C101" s="5" t="s">
        <v>131</v>
      </c>
      <c r="D101" s="5" t="s">
        <v>513</v>
      </c>
      <c r="E101" s="5" t="s">
        <v>502</v>
      </c>
      <c r="F101" s="5" t="n">
        <v>6</v>
      </c>
      <c r="G101" s="5" t="s">
        <v>514</v>
      </c>
      <c r="H101" s="5" t="s">
        <v>81</v>
      </c>
      <c r="I101" s="5" t="s">
        <v>515</v>
      </c>
      <c r="J101" s="5" t="s">
        <v>459</v>
      </c>
      <c r="K101" s="5" t="s">
        <v>504</v>
      </c>
      <c r="L101" s="5" t="s">
        <v>516</v>
      </c>
    </row>
    <row r="102" customFormat="false" ht="15" hidden="false" customHeight="false" outlineLevel="0" collapsed="false">
      <c r="A102" s="5" t="s">
        <v>517</v>
      </c>
      <c r="B102" s="5" t="n">
        <v>4</v>
      </c>
      <c r="C102" s="5" t="s">
        <v>131</v>
      </c>
      <c r="D102" s="5" t="s">
        <v>518</v>
      </c>
      <c r="E102" s="5" t="s">
        <v>502</v>
      </c>
      <c r="F102" s="5" t="n">
        <v>6</v>
      </c>
      <c r="G102" s="5"/>
      <c r="H102" s="5" t="s">
        <v>81</v>
      </c>
      <c r="I102" s="5" t="s">
        <v>279</v>
      </c>
      <c r="J102" s="5" t="s">
        <v>459</v>
      </c>
      <c r="K102" s="5" t="s">
        <v>504</v>
      </c>
      <c r="L102" s="5" t="s">
        <v>85</v>
      </c>
    </row>
    <row r="103" customFormat="false" ht="15" hidden="false" customHeight="false" outlineLevel="0" collapsed="false">
      <c r="A103" s="5" t="s">
        <v>519</v>
      </c>
      <c r="B103" s="5" t="n">
        <v>4</v>
      </c>
      <c r="C103" s="5" t="s">
        <v>131</v>
      </c>
      <c r="D103" s="5" t="s">
        <v>520</v>
      </c>
      <c r="E103" s="5" t="s">
        <v>93</v>
      </c>
      <c r="F103" s="5" t="n">
        <v>4</v>
      </c>
      <c r="G103" s="5"/>
      <c r="H103" s="5" t="s">
        <v>81</v>
      </c>
      <c r="I103" s="5" t="s">
        <v>401</v>
      </c>
      <c r="J103" s="5" t="s">
        <v>459</v>
      </c>
      <c r="K103" s="5" t="s">
        <v>504</v>
      </c>
      <c r="L103" s="5" t="s">
        <v>85</v>
      </c>
    </row>
    <row r="104" customFormat="false" ht="35.05" hidden="false" customHeight="false" outlineLevel="0" collapsed="false">
      <c r="A104" s="5" t="s">
        <v>521</v>
      </c>
      <c r="B104" s="5" t="n">
        <v>4</v>
      </c>
      <c r="C104" s="5" t="s">
        <v>156</v>
      </c>
      <c r="D104" s="5" t="s">
        <v>522</v>
      </c>
      <c r="E104" s="5" t="s">
        <v>176</v>
      </c>
      <c r="F104" s="5" t="n">
        <v>20</v>
      </c>
      <c r="G104" s="5" t="s">
        <v>523</v>
      </c>
      <c r="H104" s="5" t="s">
        <v>524</v>
      </c>
      <c r="I104" s="5" t="s">
        <v>525</v>
      </c>
      <c r="J104" s="5" t="s">
        <v>459</v>
      </c>
      <c r="K104" s="5" t="s">
        <v>526</v>
      </c>
      <c r="L104" s="5" t="s">
        <v>527</v>
      </c>
    </row>
    <row r="105" customFormat="false" ht="15" hidden="false" customHeight="false" outlineLevel="0" collapsed="false">
      <c r="A105" s="5" t="s">
        <v>528</v>
      </c>
      <c r="B105" s="5" t="n">
        <v>4</v>
      </c>
      <c r="C105" s="5" t="s">
        <v>156</v>
      </c>
      <c r="D105" s="5" t="s">
        <v>529</v>
      </c>
      <c r="E105" s="5" t="s">
        <v>176</v>
      </c>
      <c r="F105" s="5" t="n">
        <v>8</v>
      </c>
      <c r="G105" s="5" t="s">
        <v>348</v>
      </c>
      <c r="H105" s="5" t="s">
        <v>81</v>
      </c>
      <c r="I105" s="5" t="s">
        <v>530</v>
      </c>
      <c r="J105" s="5" t="s">
        <v>459</v>
      </c>
      <c r="K105" s="5" t="s">
        <v>526</v>
      </c>
      <c r="L105" s="5" t="s">
        <v>350</v>
      </c>
    </row>
    <row r="106" customFormat="false" ht="15" hidden="false" customHeight="false" outlineLevel="0" collapsed="false">
      <c r="A106" s="5" t="s">
        <v>531</v>
      </c>
      <c r="B106" s="5" t="n">
        <v>4</v>
      </c>
      <c r="C106" s="5" t="s">
        <v>156</v>
      </c>
      <c r="D106" s="5" t="s">
        <v>532</v>
      </c>
      <c r="E106" s="5" t="s">
        <v>158</v>
      </c>
      <c r="F106" s="5" t="n">
        <v>10</v>
      </c>
      <c r="G106" s="5" t="s">
        <v>533</v>
      </c>
      <c r="H106" s="5" t="s">
        <v>81</v>
      </c>
      <c r="I106" s="5" t="s">
        <v>534</v>
      </c>
      <c r="J106" s="5" t="s">
        <v>459</v>
      </c>
      <c r="K106" s="5" t="s">
        <v>526</v>
      </c>
      <c r="L106" s="5" t="s">
        <v>535</v>
      </c>
    </row>
    <row r="107" customFormat="false" ht="15" hidden="false" customHeight="false" outlineLevel="0" collapsed="false">
      <c r="A107" s="5" t="s">
        <v>536</v>
      </c>
      <c r="B107" s="5" t="n">
        <v>4</v>
      </c>
      <c r="C107" s="5" t="s">
        <v>156</v>
      </c>
      <c r="D107" s="5" t="s">
        <v>537</v>
      </c>
      <c r="E107" s="5" t="s">
        <v>158</v>
      </c>
      <c r="F107" s="5" t="n">
        <v>6</v>
      </c>
      <c r="G107" s="5" t="s">
        <v>538</v>
      </c>
      <c r="H107" s="5" t="s">
        <v>81</v>
      </c>
      <c r="I107" s="5" t="s">
        <v>539</v>
      </c>
      <c r="J107" s="5" t="s">
        <v>459</v>
      </c>
      <c r="K107" s="5" t="s">
        <v>526</v>
      </c>
      <c r="L107" s="5" t="s">
        <v>540</v>
      </c>
    </row>
    <row r="108" customFormat="false" ht="15" hidden="false" customHeight="false" outlineLevel="0" collapsed="false">
      <c r="A108" s="5" t="s">
        <v>541</v>
      </c>
      <c r="B108" s="5" t="n">
        <v>4</v>
      </c>
      <c r="C108" s="5" t="s">
        <v>156</v>
      </c>
      <c r="D108" s="5" t="s">
        <v>542</v>
      </c>
      <c r="E108" s="5" t="s">
        <v>176</v>
      </c>
      <c r="F108" s="5" t="n">
        <v>4</v>
      </c>
      <c r="G108" s="5"/>
      <c r="H108" s="5" t="s">
        <v>81</v>
      </c>
      <c r="I108" s="5" t="s">
        <v>543</v>
      </c>
      <c r="J108" s="5" t="s">
        <v>459</v>
      </c>
      <c r="K108" s="5" t="s">
        <v>526</v>
      </c>
      <c r="L108" s="5" t="s">
        <v>85</v>
      </c>
    </row>
    <row r="109" customFormat="false" ht="15" hidden="false" customHeight="false" outlineLevel="0" collapsed="false">
      <c r="A109" s="5" t="s">
        <v>544</v>
      </c>
      <c r="B109" s="5" t="n">
        <v>4</v>
      </c>
      <c r="C109" s="5" t="s">
        <v>156</v>
      </c>
      <c r="D109" s="5" t="s">
        <v>545</v>
      </c>
      <c r="E109" s="5" t="s">
        <v>176</v>
      </c>
      <c r="F109" s="5" t="n">
        <v>4</v>
      </c>
      <c r="G109" s="5"/>
      <c r="H109" s="5" t="s">
        <v>81</v>
      </c>
      <c r="I109" s="5" t="s">
        <v>546</v>
      </c>
      <c r="J109" s="5" t="s">
        <v>459</v>
      </c>
      <c r="K109" s="5" t="s">
        <v>526</v>
      </c>
      <c r="L109" s="5" t="s">
        <v>85</v>
      </c>
    </row>
    <row r="110" customFormat="false" ht="57.45" hidden="false" customHeight="false" outlineLevel="0" collapsed="false">
      <c r="A110" s="5" t="s">
        <v>547</v>
      </c>
      <c r="B110" s="5" t="n">
        <v>4</v>
      </c>
      <c r="C110" s="5" t="s">
        <v>184</v>
      </c>
      <c r="D110" s="5" t="s">
        <v>548</v>
      </c>
      <c r="E110" s="5" t="s">
        <v>186</v>
      </c>
      <c r="F110" s="5" t="n">
        <v>12</v>
      </c>
      <c r="G110" s="5" t="s">
        <v>549</v>
      </c>
      <c r="H110" s="5" t="s">
        <v>550</v>
      </c>
      <c r="I110" s="5" t="s">
        <v>551</v>
      </c>
      <c r="J110" s="5" t="s">
        <v>459</v>
      </c>
      <c r="K110" s="5" t="s">
        <v>552</v>
      </c>
      <c r="L110" s="5" t="s">
        <v>553</v>
      </c>
    </row>
    <row r="111" customFormat="false" ht="35.05" hidden="false" customHeight="false" outlineLevel="0" collapsed="false">
      <c r="A111" s="5" t="s">
        <v>554</v>
      </c>
      <c r="B111" s="5" t="n">
        <v>4</v>
      </c>
      <c r="C111" s="5" t="s">
        <v>184</v>
      </c>
      <c r="D111" s="5" t="s">
        <v>555</v>
      </c>
      <c r="E111" s="5" t="s">
        <v>186</v>
      </c>
      <c r="F111" s="5" t="n">
        <v>10</v>
      </c>
      <c r="G111" s="5" t="s">
        <v>556</v>
      </c>
      <c r="H111" s="5" t="s">
        <v>81</v>
      </c>
      <c r="I111" s="5" t="s">
        <v>557</v>
      </c>
      <c r="J111" s="5" t="s">
        <v>459</v>
      </c>
      <c r="K111" s="5" t="s">
        <v>552</v>
      </c>
      <c r="L111" s="5" t="s">
        <v>558</v>
      </c>
    </row>
    <row r="112" customFormat="false" ht="57.45" hidden="false" customHeight="false" outlineLevel="0" collapsed="false">
      <c r="A112" s="5" t="s">
        <v>559</v>
      </c>
      <c r="B112" s="5" t="n">
        <v>4</v>
      </c>
      <c r="C112" s="5" t="s">
        <v>184</v>
      </c>
      <c r="D112" s="5" t="s">
        <v>560</v>
      </c>
      <c r="E112" s="5" t="s">
        <v>186</v>
      </c>
      <c r="F112" s="5" t="n">
        <v>12</v>
      </c>
      <c r="G112" s="5" t="s">
        <v>561</v>
      </c>
      <c r="H112" s="5" t="s">
        <v>562</v>
      </c>
      <c r="I112" s="5" t="s">
        <v>563</v>
      </c>
      <c r="J112" s="5" t="s">
        <v>459</v>
      </c>
      <c r="K112" s="5" t="s">
        <v>552</v>
      </c>
      <c r="L112" s="5" t="s">
        <v>564</v>
      </c>
    </row>
    <row r="113" customFormat="false" ht="23.85" hidden="false" customHeight="false" outlineLevel="0" collapsed="false">
      <c r="A113" s="5" t="s">
        <v>565</v>
      </c>
      <c r="B113" s="5" t="n">
        <v>4</v>
      </c>
      <c r="C113" s="5" t="s">
        <v>184</v>
      </c>
      <c r="D113" s="5" t="s">
        <v>566</v>
      </c>
      <c r="E113" s="5" t="s">
        <v>186</v>
      </c>
      <c r="F113" s="5" t="n">
        <v>6</v>
      </c>
      <c r="G113" s="5" t="s">
        <v>567</v>
      </c>
      <c r="H113" s="5" t="s">
        <v>81</v>
      </c>
      <c r="I113" s="5" t="s">
        <v>568</v>
      </c>
      <c r="J113" s="5" t="s">
        <v>459</v>
      </c>
      <c r="K113" s="5" t="s">
        <v>552</v>
      </c>
      <c r="L113" s="5" t="s">
        <v>569</v>
      </c>
    </row>
    <row r="114" customFormat="false" ht="15" hidden="false" customHeight="false" outlineLevel="0" collapsed="false">
      <c r="A114" s="5" t="s">
        <v>570</v>
      </c>
      <c r="B114" s="5" t="n">
        <v>4</v>
      </c>
      <c r="C114" s="5" t="s">
        <v>184</v>
      </c>
      <c r="D114" s="5" t="s">
        <v>571</v>
      </c>
      <c r="E114" s="5" t="s">
        <v>186</v>
      </c>
      <c r="F114" s="5" t="n">
        <v>2</v>
      </c>
      <c r="G114" s="5" t="s">
        <v>572</v>
      </c>
      <c r="H114" s="5" t="s">
        <v>81</v>
      </c>
      <c r="I114" s="5" t="s">
        <v>573</v>
      </c>
      <c r="J114" s="5" t="s">
        <v>459</v>
      </c>
      <c r="K114" s="5" t="s">
        <v>552</v>
      </c>
      <c r="L114" s="5" t="s">
        <v>574</v>
      </c>
    </row>
    <row r="115" customFormat="false" ht="15" hidden="false" customHeight="false" outlineLevel="0" collapsed="false">
      <c r="A115" s="5" t="s">
        <v>575</v>
      </c>
      <c r="B115" s="5" t="n">
        <v>4</v>
      </c>
      <c r="C115" s="5" t="s">
        <v>184</v>
      </c>
      <c r="D115" s="5" t="s">
        <v>576</v>
      </c>
      <c r="E115" s="5" t="s">
        <v>186</v>
      </c>
      <c r="F115" s="5" t="n">
        <v>8</v>
      </c>
      <c r="G115" s="5" t="s">
        <v>447</v>
      </c>
      <c r="H115" s="5" t="s">
        <v>577</v>
      </c>
      <c r="I115" s="5" t="s">
        <v>578</v>
      </c>
      <c r="J115" s="5" t="s">
        <v>459</v>
      </c>
      <c r="K115" s="5" t="s">
        <v>552</v>
      </c>
      <c r="L115" s="5" t="s">
        <v>449</v>
      </c>
    </row>
    <row r="116" customFormat="false" ht="15" hidden="false" customHeight="false" outlineLevel="0" collapsed="false">
      <c r="A116" s="5" t="s">
        <v>579</v>
      </c>
      <c r="B116" s="5" t="n">
        <v>4</v>
      </c>
      <c r="C116" s="5" t="s">
        <v>184</v>
      </c>
      <c r="D116" s="5" t="s">
        <v>580</v>
      </c>
      <c r="E116" s="5" t="s">
        <v>148</v>
      </c>
      <c r="F116" s="5" t="n">
        <v>2</v>
      </c>
      <c r="G116" s="5"/>
      <c r="H116" s="5" t="s">
        <v>81</v>
      </c>
      <c r="I116" s="5" t="s">
        <v>581</v>
      </c>
      <c r="J116" s="5" t="s">
        <v>459</v>
      </c>
      <c r="K116" s="5" t="s">
        <v>552</v>
      </c>
      <c r="L116" s="5" t="s">
        <v>85</v>
      </c>
    </row>
    <row r="117" customFormat="false" ht="23.85" hidden="false" customHeight="false" outlineLevel="0" collapsed="false">
      <c r="A117" s="4" t="s">
        <v>582</v>
      </c>
      <c r="B117" s="4" t="n">
        <v>5</v>
      </c>
      <c r="C117" s="4" t="s">
        <v>78</v>
      </c>
      <c r="D117" s="4" t="s">
        <v>583</v>
      </c>
      <c r="E117" s="4" t="s">
        <v>584</v>
      </c>
      <c r="F117" s="4" t="n">
        <v>10</v>
      </c>
      <c r="G117" s="4" t="s">
        <v>226</v>
      </c>
      <c r="H117" s="4" t="s">
        <v>81</v>
      </c>
      <c r="I117" s="4" t="s">
        <v>585</v>
      </c>
      <c r="J117" s="4" t="s">
        <v>586</v>
      </c>
      <c r="K117" s="4" t="s">
        <v>587</v>
      </c>
      <c r="L117" s="4" t="s">
        <v>228</v>
      </c>
    </row>
    <row r="118" customFormat="false" ht="35.05" hidden="false" customHeight="false" outlineLevel="0" collapsed="false">
      <c r="A118" s="4" t="s">
        <v>588</v>
      </c>
      <c r="B118" s="4" t="n">
        <v>5</v>
      </c>
      <c r="C118" s="4" t="s">
        <v>78</v>
      </c>
      <c r="D118" s="4" t="s">
        <v>589</v>
      </c>
      <c r="E118" s="4" t="s">
        <v>584</v>
      </c>
      <c r="F118" s="4" t="n">
        <v>12</v>
      </c>
      <c r="G118" s="4" t="s">
        <v>590</v>
      </c>
      <c r="H118" s="4" t="s">
        <v>81</v>
      </c>
      <c r="I118" s="4" t="s">
        <v>591</v>
      </c>
      <c r="J118" s="4" t="s">
        <v>586</v>
      </c>
      <c r="K118" s="4" t="s">
        <v>587</v>
      </c>
      <c r="L118" s="4" t="s">
        <v>592</v>
      </c>
    </row>
    <row r="119" customFormat="false" ht="23.85" hidden="false" customHeight="false" outlineLevel="0" collapsed="false">
      <c r="A119" s="4" t="s">
        <v>593</v>
      </c>
      <c r="B119" s="4" t="n">
        <v>5</v>
      </c>
      <c r="C119" s="4" t="s">
        <v>78</v>
      </c>
      <c r="D119" s="4" t="s">
        <v>594</v>
      </c>
      <c r="E119" s="4" t="s">
        <v>584</v>
      </c>
      <c r="F119" s="4" t="n">
        <v>8</v>
      </c>
      <c r="G119" s="4" t="s">
        <v>595</v>
      </c>
      <c r="H119" s="4" t="s">
        <v>81</v>
      </c>
      <c r="I119" s="4" t="s">
        <v>596</v>
      </c>
      <c r="J119" s="4" t="s">
        <v>586</v>
      </c>
      <c r="K119" s="4" t="s">
        <v>587</v>
      </c>
      <c r="L119" s="4" t="s">
        <v>597</v>
      </c>
    </row>
    <row r="120" customFormat="false" ht="35.05" hidden="false" customHeight="false" outlineLevel="0" collapsed="false">
      <c r="A120" s="4" t="s">
        <v>598</v>
      </c>
      <c r="B120" s="4" t="n">
        <v>5</v>
      </c>
      <c r="C120" s="4" t="s">
        <v>78</v>
      </c>
      <c r="D120" s="4" t="s">
        <v>599</v>
      </c>
      <c r="E120" s="4" t="s">
        <v>584</v>
      </c>
      <c r="F120" s="4" t="n">
        <v>6</v>
      </c>
      <c r="G120" s="4" t="s">
        <v>600</v>
      </c>
      <c r="H120" s="4" t="s">
        <v>81</v>
      </c>
      <c r="I120" s="4" t="s">
        <v>601</v>
      </c>
      <c r="J120" s="4" t="s">
        <v>586</v>
      </c>
      <c r="K120" s="4" t="s">
        <v>587</v>
      </c>
      <c r="L120" s="4" t="s">
        <v>602</v>
      </c>
    </row>
    <row r="121" customFormat="false" ht="23.85" hidden="false" customHeight="false" outlineLevel="0" collapsed="false">
      <c r="A121" s="4" t="s">
        <v>603</v>
      </c>
      <c r="B121" s="4" t="n">
        <v>5</v>
      </c>
      <c r="C121" s="4" t="s">
        <v>78</v>
      </c>
      <c r="D121" s="4" t="s">
        <v>604</v>
      </c>
      <c r="E121" s="4" t="s">
        <v>80</v>
      </c>
      <c r="F121" s="4" t="n">
        <v>8</v>
      </c>
      <c r="G121" s="4" t="s">
        <v>605</v>
      </c>
      <c r="H121" s="4" t="s">
        <v>81</v>
      </c>
      <c r="I121" s="4" t="s">
        <v>606</v>
      </c>
      <c r="J121" s="4" t="s">
        <v>586</v>
      </c>
      <c r="K121" s="4" t="s">
        <v>587</v>
      </c>
      <c r="L121" s="4" t="s">
        <v>607</v>
      </c>
    </row>
    <row r="122" customFormat="false" ht="23.85" hidden="false" customHeight="false" outlineLevel="0" collapsed="false">
      <c r="A122" s="4" t="s">
        <v>608</v>
      </c>
      <c r="B122" s="4" t="n">
        <v>5</v>
      </c>
      <c r="C122" s="4" t="s">
        <v>78</v>
      </c>
      <c r="D122" s="4" t="s">
        <v>609</v>
      </c>
      <c r="E122" s="4" t="s">
        <v>80</v>
      </c>
      <c r="F122" s="4" t="n">
        <v>8</v>
      </c>
      <c r="G122" s="4" t="s">
        <v>610</v>
      </c>
      <c r="H122" s="4" t="s">
        <v>81</v>
      </c>
      <c r="I122" s="4" t="s">
        <v>611</v>
      </c>
      <c r="J122" s="4" t="s">
        <v>586</v>
      </c>
      <c r="K122" s="4" t="s">
        <v>587</v>
      </c>
      <c r="L122" s="4" t="s">
        <v>612</v>
      </c>
    </row>
    <row r="123" customFormat="false" ht="35.05" hidden="false" customHeight="false" outlineLevel="0" collapsed="false">
      <c r="A123" s="4" t="s">
        <v>613</v>
      </c>
      <c r="B123" s="4" t="n">
        <v>5</v>
      </c>
      <c r="C123" s="4" t="s">
        <v>109</v>
      </c>
      <c r="D123" s="4" t="s">
        <v>614</v>
      </c>
      <c r="E123" s="4" t="s">
        <v>123</v>
      </c>
      <c r="F123" s="4" t="n">
        <v>22</v>
      </c>
      <c r="G123" s="4" t="s">
        <v>343</v>
      </c>
      <c r="H123" s="4" t="s">
        <v>615</v>
      </c>
      <c r="I123" s="4" t="s">
        <v>616</v>
      </c>
      <c r="J123" s="4" t="s">
        <v>586</v>
      </c>
      <c r="K123" s="4" t="s">
        <v>617</v>
      </c>
      <c r="L123" s="4" t="s">
        <v>345</v>
      </c>
    </row>
    <row r="124" customFormat="false" ht="35.05" hidden="false" customHeight="false" outlineLevel="0" collapsed="false">
      <c r="A124" s="4" t="s">
        <v>618</v>
      </c>
      <c r="B124" s="4" t="n">
        <v>5</v>
      </c>
      <c r="C124" s="4" t="s">
        <v>109</v>
      </c>
      <c r="D124" s="4" t="s">
        <v>619</v>
      </c>
      <c r="E124" s="4" t="s">
        <v>123</v>
      </c>
      <c r="F124" s="4" t="n">
        <v>14</v>
      </c>
      <c r="G124" s="4" t="s">
        <v>620</v>
      </c>
      <c r="H124" s="4" t="s">
        <v>81</v>
      </c>
      <c r="I124" s="4" t="s">
        <v>621</v>
      </c>
      <c r="J124" s="4" t="s">
        <v>586</v>
      </c>
      <c r="K124" s="4" t="s">
        <v>617</v>
      </c>
      <c r="L124" s="4" t="s">
        <v>622</v>
      </c>
    </row>
    <row r="125" customFormat="false" ht="23.85" hidden="false" customHeight="false" outlineLevel="0" collapsed="false">
      <c r="A125" s="4" t="s">
        <v>623</v>
      </c>
      <c r="B125" s="4" t="n">
        <v>5</v>
      </c>
      <c r="C125" s="4" t="s">
        <v>109</v>
      </c>
      <c r="D125" s="4" t="s">
        <v>624</v>
      </c>
      <c r="E125" s="4" t="s">
        <v>502</v>
      </c>
      <c r="F125" s="4" t="n">
        <v>8</v>
      </c>
      <c r="G125" s="4" t="s">
        <v>625</v>
      </c>
      <c r="H125" s="4" t="s">
        <v>81</v>
      </c>
      <c r="I125" s="4" t="s">
        <v>626</v>
      </c>
      <c r="J125" s="4" t="s">
        <v>586</v>
      </c>
      <c r="K125" s="4" t="s">
        <v>617</v>
      </c>
      <c r="L125" s="4" t="s">
        <v>627</v>
      </c>
    </row>
    <row r="126" customFormat="false" ht="23.85" hidden="false" customHeight="false" outlineLevel="0" collapsed="false">
      <c r="A126" s="4" t="s">
        <v>628</v>
      </c>
      <c r="B126" s="4" t="n">
        <v>5</v>
      </c>
      <c r="C126" s="4" t="s">
        <v>109</v>
      </c>
      <c r="D126" s="4" t="s">
        <v>629</v>
      </c>
      <c r="E126" s="4" t="s">
        <v>123</v>
      </c>
      <c r="F126" s="4" t="n">
        <v>8</v>
      </c>
      <c r="G126" s="4"/>
      <c r="H126" s="4" t="s">
        <v>81</v>
      </c>
      <c r="I126" s="4" t="s">
        <v>630</v>
      </c>
      <c r="J126" s="4" t="s">
        <v>586</v>
      </c>
      <c r="K126" s="4" t="s">
        <v>617</v>
      </c>
      <c r="L126" s="4" t="s">
        <v>85</v>
      </c>
    </row>
    <row r="127" customFormat="false" ht="35.05" hidden="false" customHeight="false" outlineLevel="0" collapsed="false">
      <c r="A127" s="4" t="s">
        <v>631</v>
      </c>
      <c r="B127" s="4" t="n">
        <v>5</v>
      </c>
      <c r="C127" s="4" t="s">
        <v>131</v>
      </c>
      <c r="D127" s="4" t="s">
        <v>632</v>
      </c>
      <c r="E127" s="4" t="s">
        <v>502</v>
      </c>
      <c r="F127" s="4" t="n">
        <v>16</v>
      </c>
      <c r="G127" s="4" t="s">
        <v>633</v>
      </c>
      <c r="H127" s="4" t="s">
        <v>81</v>
      </c>
      <c r="I127" s="4" t="s">
        <v>634</v>
      </c>
      <c r="J127" s="4" t="s">
        <v>586</v>
      </c>
      <c r="K127" s="4" t="s">
        <v>635</v>
      </c>
      <c r="L127" s="4" t="s">
        <v>636</v>
      </c>
    </row>
    <row r="128" customFormat="false" ht="35.05" hidden="false" customHeight="false" outlineLevel="0" collapsed="false">
      <c r="A128" s="4" t="s">
        <v>637</v>
      </c>
      <c r="B128" s="4" t="n">
        <v>5</v>
      </c>
      <c r="C128" s="4" t="s">
        <v>131</v>
      </c>
      <c r="D128" s="4" t="s">
        <v>638</v>
      </c>
      <c r="E128" s="4" t="s">
        <v>372</v>
      </c>
      <c r="F128" s="4" t="n">
        <v>16</v>
      </c>
      <c r="G128" s="4" t="s">
        <v>639</v>
      </c>
      <c r="H128" s="4" t="s">
        <v>640</v>
      </c>
      <c r="I128" s="4" t="s">
        <v>641</v>
      </c>
      <c r="J128" s="4" t="s">
        <v>586</v>
      </c>
      <c r="K128" s="4" t="s">
        <v>635</v>
      </c>
      <c r="L128" s="4" t="s">
        <v>642</v>
      </c>
    </row>
    <row r="129" customFormat="false" ht="35.05" hidden="false" customHeight="false" outlineLevel="0" collapsed="false">
      <c r="A129" s="4" t="s">
        <v>643</v>
      </c>
      <c r="B129" s="4" t="n">
        <v>5</v>
      </c>
      <c r="C129" s="4" t="s">
        <v>131</v>
      </c>
      <c r="D129" s="4" t="s">
        <v>644</v>
      </c>
      <c r="E129" s="4" t="s">
        <v>372</v>
      </c>
      <c r="F129" s="4" t="n">
        <v>6</v>
      </c>
      <c r="G129" s="4" t="s">
        <v>645</v>
      </c>
      <c r="H129" s="4" t="s">
        <v>81</v>
      </c>
      <c r="I129" s="4" t="s">
        <v>646</v>
      </c>
      <c r="J129" s="4" t="s">
        <v>586</v>
      </c>
      <c r="K129" s="4" t="s">
        <v>635</v>
      </c>
      <c r="L129" s="4" t="s">
        <v>647</v>
      </c>
    </row>
    <row r="130" customFormat="false" ht="35.05" hidden="false" customHeight="false" outlineLevel="0" collapsed="false">
      <c r="A130" s="4" t="s">
        <v>648</v>
      </c>
      <c r="B130" s="4" t="n">
        <v>5</v>
      </c>
      <c r="C130" s="4" t="s">
        <v>131</v>
      </c>
      <c r="D130" s="4" t="s">
        <v>649</v>
      </c>
      <c r="E130" s="4" t="s">
        <v>186</v>
      </c>
      <c r="F130" s="4" t="n">
        <v>8</v>
      </c>
      <c r="G130" s="4" t="s">
        <v>633</v>
      </c>
      <c r="H130" s="4" t="s">
        <v>650</v>
      </c>
      <c r="I130" s="4" t="s">
        <v>651</v>
      </c>
      <c r="J130" s="4" t="s">
        <v>586</v>
      </c>
      <c r="K130" s="4" t="s">
        <v>635</v>
      </c>
      <c r="L130" s="4" t="s">
        <v>636</v>
      </c>
    </row>
    <row r="131" customFormat="false" ht="23.85" hidden="false" customHeight="false" outlineLevel="0" collapsed="false">
      <c r="A131" s="4" t="s">
        <v>652</v>
      </c>
      <c r="B131" s="4" t="n">
        <v>5</v>
      </c>
      <c r="C131" s="4" t="s">
        <v>131</v>
      </c>
      <c r="D131" s="4" t="s">
        <v>653</v>
      </c>
      <c r="E131" s="4" t="s">
        <v>372</v>
      </c>
      <c r="F131" s="4" t="n">
        <v>6</v>
      </c>
      <c r="G131" s="4"/>
      <c r="H131" s="4" t="s">
        <v>81</v>
      </c>
      <c r="I131" s="4" t="s">
        <v>279</v>
      </c>
      <c r="J131" s="4" t="s">
        <v>586</v>
      </c>
      <c r="K131" s="4" t="s">
        <v>635</v>
      </c>
      <c r="L131" s="4" t="s">
        <v>85</v>
      </c>
    </row>
    <row r="132" customFormat="false" ht="35.05" hidden="false" customHeight="false" outlineLevel="0" collapsed="false">
      <c r="A132" s="4" t="s">
        <v>654</v>
      </c>
      <c r="B132" s="4" t="n">
        <v>5</v>
      </c>
      <c r="C132" s="4" t="s">
        <v>156</v>
      </c>
      <c r="D132" s="4" t="s">
        <v>655</v>
      </c>
      <c r="E132" s="4" t="s">
        <v>176</v>
      </c>
      <c r="F132" s="4" t="n">
        <v>22</v>
      </c>
      <c r="G132" s="4" t="s">
        <v>656</v>
      </c>
      <c r="H132" s="4" t="s">
        <v>657</v>
      </c>
      <c r="I132" s="4" t="s">
        <v>658</v>
      </c>
      <c r="J132" s="4" t="s">
        <v>586</v>
      </c>
      <c r="K132" s="4" t="s">
        <v>659</v>
      </c>
      <c r="L132" s="4" t="s">
        <v>660</v>
      </c>
    </row>
    <row r="133" customFormat="false" ht="23.85" hidden="false" customHeight="false" outlineLevel="0" collapsed="false">
      <c r="A133" s="4" t="s">
        <v>661</v>
      </c>
      <c r="B133" s="4" t="n">
        <v>5</v>
      </c>
      <c r="C133" s="4" t="s">
        <v>156</v>
      </c>
      <c r="D133" s="4" t="s">
        <v>662</v>
      </c>
      <c r="E133" s="4" t="s">
        <v>158</v>
      </c>
      <c r="F133" s="4" t="n">
        <v>12</v>
      </c>
      <c r="G133" s="4" t="s">
        <v>663</v>
      </c>
      <c r="H133" s="4" t="s">
        <v>81</v>
      </c>
      <c r="I133" s="4" t="s">
        <v>664</v>
      </c>
      <c r="J133" s="4" t="s">
        <v>586</v>
      </c>
      <c r="K133" s="4" t="s">
        <v>659</v>
      </c>
      <c r="L133" s="4" t="s">
        <v>665</v>
      </c>
    </row>
    <row r="134" customFormat="false" ht="23.85" hidden="false" customHeight="false" outlineLevel="0" collapsed="false">
      <c r="A134" s="4" t="s">
        <v>666</v>
      </c>
      <c r="B134" s="4" t="n">
        <v>5</v>
      </c>
      <c r="C134" s="4" t="s">
        <v>156</v>
      </c>
      <c r="D134" s="4" t="s">
        <v>667</v>
      </c>
      <c r="E134" s="4" t="s">
        <v>158</v>
      </c>
      <c r="F134" s="4" t="n">
        <v>12</v>
      </c>
      <c r="G134" s="4" t="s">
        <v>533</v>
      </c>
      <c r="H134" s="4" t="s">
        <v>81</v>
      </c>
      <c r="I134" s="4" t="s">
        <v>668</v>
      </c>
      <c r="J134" s="4" t="s">
        <v>586</v>
      </c>
      <c r="K134" s="4" t="s">
        <v>659</v>
      </c>
      <c r="L134" s="4" t="s">
        <v>535</v>
      </c>
    </row>
    <row r="135" customFormat="false" ht="23.85" hidden="false" customHeight="false" outlineLevel="0" collapsed="false">
      <c r="A135" s="4" t="s">
        <v>669</v>
      </c>
      <c r="B135" s="4" t="n">
        <v>5</v>
      </c>
      <c r="C135" s="4" t="s">
        <v>156</v>
      </c>
      <c r="D135" s="4" t="s">
        <v>670</v>
      </c>
      <c r="E135" s="4" t="s">
        <v>176</v>
      </c>
      <c r="F135" s="4" t="n">
        <v>6</v>
      </c>
      <c r="G135" s="4"/>
      <c r="H135" s="4" t="s">
        <v>81</v>
      </c>
      <c r="I135" s="4" t="s">
        <v>671</v>
      </c>
      <c r="J135" s="4" t="s">
        <v>586</v>
      </c>
      <c r="K135" s="4" t="s">
        <v>659</v>
      </c>
      <c r="L135" s="4" t="s">
        <v>85</v>
      </c>
    </row>
    <row r="136" customFormat="false" ht="46.25" hidden="false" customHeight="false" outlineLevel="0" collapsed="false">
      <c r="A136" s="4" t="s">
        <v>672</v>
      </c>
      <c r="B136" s="4" t="n">
        <v>5</v>
      </c>
      <c r="C136" s="4" t="s">
        <v>184</v>
      </c>
      <c r="D136" s="4" t="s">
        <v>673</v>
      </c>
      <c r="E136" s="4" t="s">
        <v>186</v>
      </c>
      <c r="F136" s="4" t="n">
        <v>10</v>
      </c>
      <c r="G136" s="4" t="s">
        <v>674</v>
      </c>
      <c r="H136" s="4" t="s">
        <v>675</v>
      </c>
      <c r="I136" s="4" t="s">
        <v>676</v>
      </c>
      <c r="J136" s="4" t="s">
        <v>586</v>
      </c>
      <c r="K136" s="4" t="s">
        <v>677</v>
      </c>
      <c r="L136" s="4" t="s">
        <v>678</v>
      </c>
    </row>
    <row r="137" customFormat="false" ht="23.85" hidden="false" customHeight="false" outlineLevel="0" collapsed="false">
      <c r="A137" s="4" t="s">
        <v>679</v>
      </c>
      <c r="B137" s="4" t="n">
        <v>5</v>
      </c>
      <c r="C137" s="4" t="s">
        <v>184</v>
      </c>
      <c r="D137" s="4" t="s">
        <v>680</v>
      </c>
      <c r="E137" s="4" t="s">
        <v>186</v>
      </c>
      <c r="F137" s="4" t="n">
        <v>6</v>
      </c>
      <c r="G137" s="4" t="s">
        <v>264</v>
      </c>
      <c r="H137" s="4" t="s">
        <v>81</v>
      </c>
      <c r="I137" s="4" t="s">
        <v>681</v>
      </c>
      <c r="J137" s="4" t="s">
        <v>586</v>
      </c>
      <c r="K137" s="4" t="s">
        <v>677</v>
      </c>
      <c r="L137" s="4" t="s">
        <v>266</v>
      </c>
    </row>
    <row r="138" customFormat="false" ht="23.85" hidden="false" customHeight="false" outlineLevel="0" collapsed="false">
      <c r="A138" s="4" t="s">
        <v>682</v>
      </c>
      <c r="B138" s="4" t="n">
        <v>5</v>
      </c>
      <c r="C138" s="4" t="s">
        <v>184</v>
      </c>
      <c r="D138" s="4" t="s">
        <v>683</v>
      </c>
      <c r="E138" s="4" t="s">
        <v>186</v>
      </c>
      <c r="F138" s="4" t="n">
        <v>8</v>
      </c>
      <c r="G138" s="4" t="s">
        <v>269</v>
      </c>
      <c r="H138" s="4" t="s">
        <v>81</v>
      </c>
      <c r="I138" s="4" t="s">
        <v>684</v>
      </c>
      <c r="J138" s="4" t="s">
        <v>586</v>
      </c>
      <c r="K138" s="4" t="s">
        <v>677</v>
      </c>
      <c r="L138" s="4" t="s">
        <v>271</v>
      </c>
    </row>
    <row r="139" customFormat="false" ht="35.05" hidden="false" customHeight="false" outlineLevel="0" collapsed="false">
      <c r="A139" s="4" t="s">
        <v>685</v>
      </c>
      <c r="B139" s="4" t="n">
        <v>5</v>
      </c>
      <c r="C139" s="4" t="s">
        <v>184</v>
      </c>
      <c r="D139" s="4" t="s">
        <v>686</v>
      </c>
      <c r="E139" s="4" t="s">
        <v>186</v>
      </c>
      <c r="F139" s="4" t="n">
        <v>12</v>
      </c>
      <c r="G139" s="4" t="s">
        <v>687</v>
      </c>
      <c r="H139" s="4" t="s">
        <v>688</v>
      </c>
      <c r="I139" s="4" t="s">
        <v>689</v>
      </c>
      <c r="J139" s="4" t="s">
        <v>586</v>
      </c>
      <c r="K139" s="4" t="s">
        <v>677</v>
      </c>
      <c r="L139" s="4" t="s">
        <v>690</v>
      </c>
    </row>
    <row r="140" customFormat="false" ht="57.45" hidden="false" customHeight="false" outlineLevel="0" collapsed="false">
      <c r="A140" s="4" t="s">
        <v>691</v>
      </c>
      <c r="B140" s="4" t="n">
        <v>5</v>
      </c>
      <c r="C140" s="4" t="s">
        <v>184</v>
      </c>
      <c r="D140" s="4" t="s">
        <v>692</v>
      </c>
      <c r="E140" s="4" t="s">
        <v>186</v>
      </c>
      <c r="F140" s="4" t="n">
        <v>12</v>
      </c>
      <c r="G140" s="4" t="s">
        <v>693</v>
      </c>
      <c r="H140" s="4" t="s">
        <v>81</v>
      </c>
      <c r="I140" s="4" t="s">
        <v>694</v>
      </c>
      <c r="J140" s="4" t="s">
        <v>586</v>
      </c>
      <c r="K140" s="4" t="s">
        <v>677</v>
      </c>
      <c r="L140" s="4" t="s">
        <v>695</v>
      </c>
    </row>
    <row r="141" customFormat="false" ht="23.85" hidden="false" customHeight="false" outlineLevel="0" collapsed="false">
      <c r="A141" s="4" t="s">
        <v>696</v>
      </c>
      <c r="B141" s="4" t="n">
        <v>5</v>
      </c>
      <c r="C141" s="4" t="s">
        <v>184</v>
      </c>
      <c r="D141" s="4" t="s">
        <v>697</v>
      </c>
      <c r="E141" s="4" t="s">
        <v>148</v>
      </c>
      <c r="F141" s="4" t="n">
        <v>4</v>
      </c>
      <c r="G141" s="4"/>
      <c r="H141" s="4" t="s">
        <v>81</v>
      </c>
      <c r="I141" s="4" t="s">
        <v>698</v>
      </c>
      <c r="J141" s="4" t="s">
        <v>586</v>
      </c>
      <c r="K141" s="4" t="s">
        <v>677</v>
      </c>
      <c r="L141" s="4" t="s">
        <v>85</v>
      </c>
    </row>
    <row r="142" customFormat="false" ht="46.25" hidden="false" customHeight="false" outlineLevel="0" collapsed="false">
      <c r="A142" s="5" t="s">
        <v>699</v>
      </c>
      <c r="B142" s="5" t="n">
        <v>6</v>
      </c>
      <c r="C142" s="5" t="s">
        <v>78</v>
      </c>
      <c r="D142" s="5" t="s">
        <v>700</v>
      </c>
      <c r="E142" s="5" t="s">
        <v>701</v>
      </c>
      <c r="F142" s="5" t="n">
        <v>26</v>
      </c>
      <c r="G142" s="5" t="s">
        <v>702</v>
      </c>
      <c r="H142" s="5" t="s">
        <v>81</v>
      </c>
      <c r="I142" s="5" t="s">
        <v>703</v>
      </c>
      <c r="J142" s="5" t="s">
        <v>704</v>
      </c>
      <c r="K142" s="5" t="s">
        <v>705</v>
      </c>
      <c r="L142" s="5" t="s">
        <v>706</v>
      </c>
    </row>
    <row r="143" customFormat="false" ht="35.05" hidden="false" customHeight="false" outlineLevel="0" collapsed="false">
      <c r="A143" s="5" t="s">
        <v>707</v>
      </c>
      <c r="B143" s="5" t="n">
        <v>6</v>
      </c>
      <c r="C143" s="5" t="s">
        <v>78</v>
      </c>
      <c r="D143" s="5" t="s">
        <v>708</v>
      </c>
      <c r="E143" s="5" t="s">
        <v>701</v>
      </c>
      <c r="F143" s="5" t="n">
        <v>10</v>
      </c>
      <c r="G143" s="5" t="s">
        <v>709</v>
      </c>
      <c r="H143" s="5" t="s">
        <v>81</v>
      </c>
      <c r="I143" s="5" t="s">
        <v>710</v>
      </c>
      <c r="J143" s="5" t="s">
        <v>704</v>
      </c>
      <c r="K143" s="5" t="s">
        <v>705</v>
      </c>
      <c r="L143" s="5" t="s">
        <v>711</v>
      </c>
    </row>
    <row r="144" customFormat="false" ht="15" hidden="false" customHeight="false" outlineLevel="0" collapsed="false">
      <c r="A144" s="5" t="s">
        <v>712</v>
      </c>
      <c r="B144" s="5" t="n">
        <v>6</v>
      </c>
      <c r="C144" s="5" t="s">
        <v>78</v>
      </c>
      <c r="D144" s="5" t="s">
        <v>713</v>
      </c>
      <c r="E144" s="5" t="s">
        <v>80</v>
      </c>
      <c r="F144" s="5" t="n">
        <v>8</v>
      </c>
      <c r="G144" s="5" t="s">
        <v>714</v>
      </c>
      <c r="H144" s="5" t="s">
        <v>81</v>
      </c>
      <c r="I144" s="5" t="s">
        <v>715</v>
      </c>
      <c r="J144" s="5" t="s">
        <v>704</v>
      </c>
      <c r="K144" s="5" t="s">
        <v>705</v>
      </c>
      <c r="L144" s="5" t="s">
        <v>716</v>
      </c>
    </row>
    <row r="145" customFormat="false" ht="35.05" hidden="false" customHeight="false" outlineLevel="0" collapsed="false">
      <c r="A145" s="5" t="s">
        <v>717</v>
      </c>
      <c r="B145" s="5" t="n">
        <v>6</v>
      </c>
      <c r="C145" s="5" t="s">
        <v>78</v>
      </c>
      <c r="D145" s="5" t="s">
        <v>718</v>
      </c>
      <c r="E145" s="5" t="s">
        <v>584</v>
      </c>
      <c r="F145" s="5" t="n">
        <v>8</v>
      </c>
      <c r="G145" s="5" t="s">
        <v>719</v>
      </c>
      <c r="H145" s="5" t="s">
        <v>81</v>
      </c>
      <c r="I145" s="5" t="s">
        <v>720</v>
      </c>
      <c r="J145" s="5" t="s">
        <v>704</v>
      </c>
      <c r="K145" s="5" t="s">
        <v>705</v>
      </c>
      <c r="L145" s="5" t="s">
        <v>721</v>
      </c>
    </row>
    <row r="146" customFormat="false" ht="15" hidden="false" customHeight="false" outlineLevel="0" collapsed="false">
      <c r="A146" s="5" t="s">
        <v>722</v>
      </c>
      <c r="B146" s="5" t="n">
        <v>6</v>
      </c>
      <c r="C146" s="5" t="s">
        <v>109</v>
      </c>
      <c r="D146" s="5" t="s">
        <v>723</v>
      </c>
      <c r="E146" s="5" t="s">
        <v>455</v>
      </c>
      <c r="F146" s="5" t="n">
        <v>14</v>
      </c>
      <c r="G146" s="5" t="s">
        <v>724</v>
      </c>
      <c r="H146" s="5" t="s">
        <v>81</v>
      </c>
      <c r="I146" s="5" t="s">
        <v>725</v>
      </c>
      <c r="J146" s="5" t="s">
        <v>704</v>
      </c>
      <c r="K146" s="5" t="s">
        <v>726</v>
      </c>
      <c r="L146" s="5" t="s">
        <v>727</v>
      </c>
    </row>
    <row r="147" customFormat="false" ht="35.05" hidden="false" customHeight="false" outlineLevel="0" collapsed="false">
      <c r="A147" s="5" t="s">
        <v>728</v>
      </c>
      <c r="B147" s="5" t="n">
        <v>6</v>
      </c>
      <c r="C147" s="5" t="s">
        <v>109</v>
      </c>
      <c r="D147" s="5" t="s">
        <v>729</v>
      </c>
      <c r="E147" s="5" t="s">
        <v>701</v>
      </c>
      <c r="F147" s="5" t="n">
        <v>14</v>
      </c>
      <c r="G147" s="5" t="s">
        <v>730</v>
      </c>
      <c r="H147" s="5" t="s">
        <v>81</v>
      </c>
      <c r="I147" s="5" t="s">
        <v>731</v>
      </c>
      <c r="J147" s="5" t="s">
        <v>704</v>
      </c>
      <c r="K147" s="5" t="s">
        <v>726</v>
      </c>
      <c r="L147" s="5" t="s">
        <v>732</v>
      </c>
    </row>
    <row r="148" customFormat="false" ht="15" hidden="false" customHeight="false" outlineLevel="0" collapsed="false">
      <c r="A148" s="5" t="s">
        <v>733</v>
      </c>
      <c r="B148" s="5" t="n">
        <v>6</v>
      </c>
      <c r="C148" s="5" t="s">
        <v>109</v>
      </c>
      <c r="D148" s="5" t="s">
        <v>734</v>
      </c>
      <c r="E148" s="5" t="s">
        <v>123</v>
      </c>
      <c r="F148" s="5" t="n">
        <v>16</v>
      </c>
      <c r="G148" s="5"/>
      <c r="H148" s="5" t="s">
        <v>81</v>
      </c>
      <c r="I148" s="5" t="s">
        <v>735</v>
      </c>
      <c r="J148" s="5" t="s">
        <v>704</v>
      </c>
      <c r="K148" s="5" t="s">
        <v>726</v>
      </c>
      <c r="L148" s="5" t="s">
        <v>85</v>
      </c>
    </row>
    <row r="149" customFormat="false" ht="15" hidden="false" customHeight="false" outlineLevel="0" collapsed="false">
      <c r="A149" s="5" t="s">
        <v>736</v>
      </c>
      <c r="B149" s="5" t="n">
        <v>6</v>
      </c>
      <c r="C149" s="5" t="s">
        <v>109</v>
      </c>
      <c r="D149" s="5" t="s">
        <v>737</v>
      </c>
      <c r="E149" s="5" t="s">
        <v>93</v>
      </c>
      <c r="F149" s="5" t="n">
        <v>8</v>
      </c>
      <c r="G149" s="5"/>
      <c r="H149" s="5" t="s">
        <v>81</v>
      </c>
      <c r="I149" s="5" t="s">
        <v>738</v>
      </c>
      <c r="J149" s="5" t="s">
        <v>704</v>
      </c>
      <c r="K149" s="5" t="s">
        <v>726</v>
      </c>
      <c r="L149" s="5" t="s">
        <v>85</v>
      </c>
    </row>
    <row r="150" customFormat="false" ht="15" hidden="false" customHeight="false" outlineLevel="0" collapsed="false">
      <c r="A150" s="5" t="s">
        <v>739</v>
      </c>
      <c r="B150" s="5" t="n">
        <v>6</v>
      </c>
      <c r="C150" s="5" t="s">
        <v>131</v>
      </c>
      <c r="D150" s="5" t="s">
        <v>740</v>
      </c>
      <c r="E150" s="5" t="s">
        <v>372</v>
      </c>
      <c r="F150" s="5" t="n">
        <v>8</v>
      </c>
      <c r="G150" s="5" t="s">
        <v>741</v>
      </c>
      <c r="H150" s="5" t="s">
        <v>81</v>
      </c>
      <c r="I150" s="5" t="s">
        <v>742</v>
      </c>
      <c r="J150" s="5" t="s">
        <v>704</v>
      </c>
      <c r="K150" s="5" t="s">
        <v>743</v>
      </c>
      <c r="L150" s="5" t="s">
        <v>744</v>
      </c>
    </row>
    <row r="151" customFormat="false" ht="15" hidden="false" customHeight="false" outlineLevel="0" collapsed="false">
      <c r="A151" s="5" t="s">
        <v>745</v>
      </c>
      <c r="B151" s="5" t="n">
        <v>6</v>
      </c>
      <c r="C151" s="5" t="s">
        <v>131</v>
      </c>
      <c r="D151" s="5" t="s">
        <v>746</v>
      </c>
      <c r="E151" s="5" t="s">
        <v>502</v>
      </c>
      <c r="F151" s="5" t="n">
        <v>8</v>
      </c>
      <c r="G151" s="5" t="s">
        <v>514</v>
      </c>
      <c r="H151" s="5" t="s">
        <v>81</v>
      </c>
      <c r="I151" s="5" t="s">
        <v>747</v>
      </c>
      <c r="J151" s="5" t="s">
        <v>704</v>
      </c>
      <c r="K151" s="5" t="s">
        <v>743</v>
      </c>
      <c r="L151" s="5" t="s">
        <v>516</v>
      </c>
    </row>
    <row r="152" customFormat="false" ht="35.05" hidden="false" customHeight="false" outlineLevel="0" collapsed="false">
      <c r="A152" s="5" t="s">
        <v>748</v>
      </c>
      <c r="B152" s="5" t="n">
        <v>6</v>
      </c>
      <c r="C152" s="5" t="s">
        <v>131</v>
      </c>
      <c r="D152" s="5" t="s">
        <v>749</v>
      </c>
      <c r="E152" s="5" t="s">
        <v>701</v>
      </c>
      <c r="F152" s="5" t="n">
        <v>16</v>
      </c>
      <c r="G152" s="5" t="s">
        <v>750</v>
      </c>
      <c r="H152" s="5" t="s">
        <v>751</v>
      </c>
      <c r="I152" s="5" t="s">
        <v>752</v>
      </c>
      <c r="J152" s="5" t="s">
        <v>704</v>
      </c>
      <c r="K152" s="5" t="s">
        <v>743</v>
      </c>
      <c r="L152" s="5" t="s">
        <v>753</v>
      </c>
    </row>
    <row r="153" customFormat="false" ht="35.05" hidden="false" customHeight="false" outlineLevel="0" collapsed="false">
      <c r="A153" s="5" t="s">
        <v>754</v>
      </c>
      <c r="B153" s="5" t="n">
        <v>6</v>
      </c>
      <c r="C153" s="5" t="s">
        <v>131</v>
      </c>
      <c r="D153" s="5" t="s">
        <v>755</v>
      </c>
      <c r="E153" s="5" t="s">
        <v>584</v>
      </c>
      <c r="F153" s="5" t="n">
        <v>8</v>
      </c>
      <c r="G153" s="5" t="s">
        <v>756</v>
      </c>
      <c r="H153" s="5" t="s">
        <v>757</v>
      </c>
      <c r="I153" s="5" t="s">
        <v>758</v>
      </c>
      <c r="J153" s="5" t="s">
        <v>704</v>
      </c>
      <c r="K153" s="5" t="s">
        <v>743</v>
      </c>
      <c r="L153" s="5" t="s">
        <v>759</v>
      </c>
    </row>
    <row r="154" customFormat="false" ht="35.05" hidden="false" customHeight="false" outlineLevel="0" collapsed="false">
      <c r="A154" s="5" t="s">
        <v>760</v>
      </c>
      <c r="B154" s="5" t="n">
        <v>6</v>
      </c>
      <c r="C154" s="5" t="s">
        <v>131</v>
      </c>
      <c r="D154" s="5" t="s">
        <v>761</v>
      </c>
      <c r="E154" s="5" t="s">
        <v>186</v>
      </c>
      <c r="F154" s="5" t="n">
        <v>8</v>
      </c>
      <c r="G154" s="5" t="s">
        <v>762</v>
      </c>
      <c r="H154" s="5" t="s">
        <v>81</v>
      </c>
      <c r="I154" s="5" t="s">
        <v>763</v>
      </c>
      <c r="J154" s="5" t="s">
        <v>704</v>
      </c>
      <c r="K154" s="5" t="s">
        <v>743</v>
      </c>
      <c r="L154" s="5" t="s">
        <v>764</v>
      </c>
    </row>
    <row r="155" customFormat="false" ht="15" hidden="false" customHeight="false" outlineLevel="0" collapsed="false">
      <c r="A155" s="5" t="s">
        <v>765</v>
      </c>
      <c r="B155" s="5" t="n">
        <v>6</v>
      </c>
      <c r="C155" s="5" t="s">
        <v>131</v>
      </c>
      <c r="D155" s="5" t="s">
        <v>766</v>
      </c>
      <c r="E155" s="5" t="s">
        <v>701</v>
      </c>
      <c r="F155" s="5" t="n">
        <v>4</v>
      </c>
      <c r="G155" s="5"/>
      <c r="H155" s="5" t="s">
        <v>81</v>
      </c>
      <c r="I155" s="5" t="s">
        <v>279</v>
      </c>
      <c r="J155" s="5" t="s">
        <v>704</v>
      </c>
      <c r="K155" s="5" t="s">
        <v>743</v>
      </c>
      <c r="L155" s="5" t="s">
        <v>85</v>
      </c>
    </row>
    <row r="156" customFormat="false" ht="35.05" hidden="false" customHeight="false" outlineLevel="0" collapsed="false">
      <c r="A156" s="5" t="s">
        <v>767</v>
      </c>
      <c r="B156" s="5" t="n">
        <v>6</v>
      </c>
      <c r="C156" s="5" t="s">
        <v>156</v>
      </c>
      <c r="D156" s="5" t="s">
        <v>768</v>
      </c>
      <c r="E156" s="5" t="s">
        <v>176</v>
      </c>
      <c r="F156" s="5" t="n">
        <v>20</v>
      </c>
      <c r="G156" s="5" t="s">
        <v>750</v>
      </c>
      <c r="H156" s="5" t="s">
        <v>769</v>
      </c>
      <c r="I156" s="5" t="s">
        <v>770</v>
      </c>
      <c r="J156" s="5" t="s">
        <v>704</v>
      </c>
      <c r="K156" s="5" t="s">
        <v>771</v>
      </c>
      <c r="L156" s="5" t="s">
        <v>753</v>
      </c>
    </row>
    <row r="157" customFormat="false" ht="15" hidden="false" customHeight="false" outlineLevel="0" collapsed="false">
      <c r="A157" s="5" t="s">
        <v>772</v>
      </c>
      <c r="B157" s="5" t="n">
        <v>6</v>
      </c>
      <c r="C157" s="5" t="s">
        <v>156</v>
      </c>
      <c r="D157" s="5" t="s">
        <v>773</v>
      </c>
      <c r="E157" s="5" t="s">
        <v>158</v>
      </c>
      <c r="F157" s="5" t="n">
        <v>10</v>
      </c>
      <c r="G157" s="5" t="s">
        <v>421</v>
      </c>
      <c r="H157" s="5" t="s">
        <v>81</v>
      </c>
      <c r="I157" s="5" t="s">
        <v>774</v>
      </c>
      <c r="J157" s="5" t="s">
        <v>704</v>
      </c>
      <c r="K157" s="5" t="s">
        <v>771</v>
      </c>
      <c r="L157" s="5" t="s">
        <v>423</v>
      </c>
    </row>
    <row r="158" customFormat="false" ht="35.05" hidden="false" customHeight="false" outlineLevel="0" collapsed="false">
      <c r="A158" s="5" t="s">
        <v>775</v>
      </c>
      <c r="B158" s="5" t="n">
        <v>6</v>
      </c>
      <c r="C158" s="5" t="s">
        <v>156</v>
      </c>
      <c r="D158" s="5" t="s">
        <v>776</v>
      </c>
      <c r="E158" s="5" t="s">
        <v>158</v>
      </c>
      <c r="F158" s="5" t="n">
        <v>10</v>
      </c>
      <c r="G158" s="5" t="s">
        <v>777</v>
      </c>
      <c r="H158" s="5" t="s">
        <v>81</v>
      </c>
      <c r="I158" s="5" t="s">
        <v>778</v>
      </c>
      <c r="J158" s="5" t="s">
        <v>704</v>
      </c>
      <c r="K158" s="5" t="s">
        <v>771</v>
      </c>
      <c r="L158" s="5" t="s">
        <v>779</v>
      </c>
    </row>
    <row r="159" customFormat="false" ht="23.85" hidden="false" customHeight="false" outlineLevel="0" collapsed="false">
      <c r="A159" s="5" t="s">
        <v>780</v>
      </c>
      <c r="B159" s="5" t="n">
        <v>6</v>
      </c>
      <c r="C159" s="5" t="s">
        <v>156</v>
      </c>
      <c r="D159" s="5" t="s">
        <v>781</v>
      </c>
      <c r="E159" s="5" t="s">
        <v>148</v>
      </c>
      <c r="F159" s="5" t="n">
        <v>6</v>
      </c>
      <c r="G159" s="5" t="s">
        <v>782</v>
      </c>
      <c r="H159" s="5" t="s">
        <v>81</v>
      </c>
      <c r="I159" s="5" t="s">
        <v>783</v>
      </c>
      <c r="J159" s="5" t="s">
        <v>704</v>
      </c>
      <c r="K159" s="5" t="s">
        <v>771</v>
      </c>
      <c r="L159" s="5" t="s">
        <v>784</v>
      </c>
    </row>
    <row r="160" customFormat="false" ht="15" hidden="false" customHeight="false" outlineLevel="0" collapsed="false">
      <c r="A160" s="5" t="s">
        <v>785</v>
      </c>
      <c r="B160" s="5" t="n">
        <v>6</v>
      </c>
      <c r="C160" s="5" t="s">
        <v>156</v>
      </c>
      <c r="D160" s="5" t="s">
        <v>786</v>
      </c>
      <c r="E160" s="5" t="s">
        <v>93</v>
      </c>
      <c r="F160" s="5" t="n">
        <v>4</v>
      </c>
      <c r="G160" s="5"/>
      <c r="H160" s="5" t="s">
        <v>81</v>
      </c>
      <c r="I160" s="5" t="s">
        <v>787</v>
      </c>
      <c r="J160" s="5" t="s">
        <v>704</v>
      </c>
      <c r="K160" s="5" t="s">
        <v>771</v>
      </c>
      <c r="L160" s="5" t="s">
        <v>85</v>
      </c>
    </row>
    <row r="161" customFormat="false" ht="23.85" hidden="false" customHeight="false" outlineLevel="0" collapsed="false">
      <c r="A161" s="5" t="s">
        <v>788</v>
      </c>
      <c r="B161" s="5" t="n">
        <v>6</v>
      </c>
      <c r="C161" s="5" t="s">
        <v>156</v>
      </c>
      <c r="D161" s="5" t="s">
        <v>789</v>
      </c>
      <c r="E161" s="5" t="s">
        <v>158</v>
      </c>
      <c r="F161" s="5" t="n">
        <v>2</v>
      </c>
      <c r="G161" s="5" t="s">
        <v>790</v>
      </c>
      <c r="H161" s="5" t="s">
        <v>81</v>
      </c>
      <c r="I161" s="5" t="s">
        <v>791</v>
      </c>
      <c r="J161" s="5" t="s">
        <v>704</v>
      </c>
      <c r="K161" s="5" t="s">
        <v>771</v>
      </c>
      <c r="L161" s="5" t="s">
        <v>792</v>
      </c>
    </row>
    <row r="162" customFormat="false" ht="35.05" hidden="false" customHeight="false" outlineLevel="0" collapsed="false">
      <c r="A162" s="5" t="s">
        <v>793</v>
      </c>
      <c r="B162" s="5" t="n">
        <v>6</v>
      </c>
      <c r="C162" s="5" t="s">
        <v>184</v>
      </c>
      <c r="D162" s="5" t="s">
        <v>794</v>
      </c>
      <c r="E162" s="5" t="s">
        <v>186</v>
      </c>
      <c r="F162" s="5" t="n">
        <v>12</v>
      </c>
      <c r="G162" s="5" t="s">
        <v>750</v>
      </c>
      <c r="H162" s="5" t="s">
        <v>795</v>
      </c>
      <c r="I162" s="5" t="s">
        <v>796</v>
      </c>
      <c r="J162" s="5" t="s">
        <v>704</v>
      </c>
      <c r="K162" s="5" t="s">
        <v>797</v>
      </c>
      <c r="L162" s="5" t="s">
        <v>753</v>
      </c>
    </row>
    <row r="163" customFormat="false" ht="15" hidden="false" customHeight="false" outlineLevel="0" collapsed="false">
      <c r="A163" s="5" t="s">
        <v>798</v>
      </c>
      <c r="B163" s="5" t="n">
        <v>6</v>
      </c>
      <c r="C163" s="5" t="s">
        <v>184</v>
      </c>
      <c r="D163" s="5" t="s">
        <v>799</v>
      </c>
      <c r="E163" s="5" t="s">
        <v>186</v>
      </c>
      <c r="F163" s="5" t="n">
        <v>8</v>
      </c>
      <c r="G163" s="5" t="s">
        <v>790</v>
      </c>
      <c r="H163" s="5" t="s">
        <v>800</v>
      </c>
      <c r="I163" s="5" t="s">
        <v>801</v>
      </c>
      <c r="J163" s="5" t="s">
        <v>704</v>
      </c>
      <c r="K163" s="5" t="s">
        <v>797</v>
      </c>
      <c r="L163" s="5" t="s">
        <v>792</v>
      </c>
    </row>
    <row r="164" customFormat="false" ht="15" hidden="false" customHeight="false" outlineLevel="0" collapsed="false">
      <c r="A164" s="5" t="s">
        <v>802</v>
      </c>
      <c r="B164" s="5" t="n">
        <v>6</v>
      </c>
      <c r="C164" s="5" t="s">
        <v>184</v>
      </c>
      <c r="D164" s="5" t="s">
        <v>803</v>
      </c>
      <c r="E164" s="5" t="s">
        <v>186</v>
      </c>
      <c r="F164" s="5" t="n">
        <v>6</v>
      </c>
      <c r="G164" s="5" t="s">
        <v>804</v>
      </c>
      <c r="H164" s="5" t="s">
        <v>81</v>
      </c>
      <c r="I164" s="5" t="s">
        <v>805</v>
      </c>
      <c r="J164" s="5" t="s">
        <v>704</v>
      </c>
      <c r="K164" s="5" t="s">
        <v>797</v>
      </c>
      <c r="L164" s="5" t="s">
        <v>806</v>
      </c>
    </row>
    <row r="165" customFormat="false" ht="15" hidden="false" customHeight="false" outlineLevel="0" collapsed="false">
      <c r="A165" s="5" t="s">
        <v>807</v>
      </c>
      <c r="B165" s="5" t="n">
        <v>6</v>
      </c>
      <c r="C165" s="5" t="s">
        <v>184</v>
      </c>
      <c r="D165" s="5" t="s">
        <v>808</v>
      </c>
      <c r="E165" s="5" t="s">
        <v>186</v>
      </c>
      <c r="F165" s="5" t="n">
        <v>10</v>
      </c>
      <c r="G165" s="5" t="s">
        <v>187</v>
      </c>
      <c r="H165" s="5" t="s">
        <v>81</v>
      </c>
      <c r="I165" s="5" t="s">
        <v>809</v>
      </c>
      <c r="J165" s="5" t="s">
        <v>704</v>
      </c>
      <c r="K165" s="5" t="s">
        <v>797</v>
      </c>
      <c r="L165" s="5" t="s">
        <v>190</v>
      </c>
    </row>
    <row r="166" customFormat="false" ht="15" hidden="false" customHeight="false" outlineLevel="0" collapsed="false">
      <c r="A166" s="5" t="s">
        <v>810</v>
      </c>
      <c r="B166" s="5" t="n">
        <v>6</v>
      </c>
      <c r="C166" s="5" t="s">
        <v>184</v>
      </c>
      <c r="D166" s="5" t="s">
        <v>811</v>
      </c>
      <c r="E166" s="5" t="s">
        <v>186</v>
      </c>
      <c r="F166" s="5" t="n">
        <v>4</v>
      </c>
      <c r="G166" s="5" t="s">
        <v>812</v>
      </c>
      <c r="H166" s="5" t="s">
        <v>81</v>
      </c>
      <c r="I166" s="5" t="s">
        <v>813</v>
      </c>
      <c r="J166" s="5" t="s">
        <v>704</v>
      </c>
      <c r="K166" s="5" t="s">
        <v>797</v>
      </c>
      <c r="L166" s="5" t="s">
        <v>814</v>
      </c>
    </row>
    <row r="167" customFormat="false" ht="15" hidden="false" customHeight="false" outlineLevel="0" collapsed="false">
      <c r="A167" s="5" t="s">
        <v>815</v>
      </c>
      <c r="B167" s="5" t="n">
        <v>6</v>
      </c>
      <c r="C167" s="5" t="s">
        <v>184</v>
      </c>
      <c r="D167" s="5" t="s">
        <v>816</v>
      </c>
      <c r="E167" s="5" t="s">
        <v>186</v>
      </c>
      <c r="F167" s="5" t="n">
        <v>8</v>
      </c>
      <c r="G167" s="5"/>
      <c r="H167" s="5" t="s">
        <v>81</v>
      </c>
      <c r="I167" s="5" t="s">
        <v>817</v>
      </c>
      <c r="J167" s="5" t="s">
        <v>704</v>
      </c>
      <c r="K167" s="5" t="s">
        <v>797</v>
      </c>
      <c r="L167" s="5" t="s">
        <v>85</v>
      </c>
    </row>
    <row r="168" customFormat="false" ht="15" hidden="false" customHeight="false" outlineLevel="0" collapsed="false">
      <c r="A168" s="5" t="s">
        <v>818</v>
      </c>
      <c r="B168" s="5" t="n">
        <v>6</v>
      </c>
      <c r="C168" s="5" t="s">
        <v>184</v>
      </c>
      <c r="D168" s="5" t="s">
        <v>819</v>
      </c>
      <c r="E168" s="5" t="s">
        <v>148</v>
      </c>
      <c r="F168" s="5" t="n">
        <v>4</v>
      </c>
      <c r="G168" s="5"/>
      <c r="H168" s="5" t="s">
        <v>81</v>
      </c>
      <c r="I168" s="5" t="s">
        <v>820</v>
      </c>
      <c r="J168" s="5" t="s">
        <v>704</v>
      </c>
      <c r="K168" s="5" t="s">
        <v>797</v>
      </c>
      <c r="L168" s="5" t="s">
        <v>85</v>
      </c>
    </row>
    <row r="169" customFormat="false" ht="23.85" hidden="false" customHeight="false" outlineLevel="0" collapsed="false">
      <c r="A169" s="4" t="s">
        <v>821</v>
      </c>
      <c r="B169" s="4" t="n">
        <v>7</v>
      </c>
      <c r="C169" s="4" t="s">
        <v>78</v>
      </c>
      <c r="D169" s="4" t="s">
        <v>822</v>
      </c>
      <c r="E169" s="4" t="s">
        <v>80</v>
      </c>
      <c r="F169" s="4" t="n">
        <v>12</v>
      </c>
      <c r="G169" s="4" t="s">
        <v>605</v>
      </c>
      <c r="H169" s="4" t="s">
        <v>823</v>
      </c>
      <c r="I169" s="4" t="s">
        <v>824</v>
      </c>
      <c r="J169" s="4" t="s">
        <v>825</v>
      </c>
      <c r="K169" s="4" t="s">
        <v>826</v>
      </c>
      <c r="L169" s="4" t="s">
        <v>607</v>
      </c>
    </row>
    <row r="170" customFormat="false" ht="46.25" hidden="false" customHeight="false" outlineLevel="0" collapsed="false">
      <c r="A170" s="4" t="s">
        <v>47</v>
      </c>
      <c r="B170" s="4" t="n">
        <v>7</v>
      </c>
      <c r="C170" s="4" t="s">
        <v>78</v>
      </c>
      <c r="D170" s="4" t="s">
        <v>827</v>
      </c>
      <c r="E170" s="4" t="s">
        <v>148</v>
      </c>
      <c r="F170" s="4" t="n">
        <v>14</v>
      </c>
      <c r="G170" s="4" t="s">
        <v>828</v>
      </c>
      <c r="H170" s="4" t="s">
        <v>81</v>
      </c>
      <c r="I170" s="4" t="s">
        <v>829</v>
      </c>
      <c r="J170" s="4" t="s">
        <v>825</v>
      </c>
      <c r="K170" s="4" t="s">
        <v>826</v>
      </c>
      <c r="L170" s="4" t="s">
        <v>830</v>
      </c>
    </row>
    <row r="171" customFormat="false" ht="35.05" hidden="false" customHeight="false" outlineLevel="0" collapsed="false">
      <c r="A171" s="4" t="s">
        <v>831</v>
      </c>
      <c r="B171" s="4" t="n">
        <v>7</v>
      </c>
      <c r="C171" s="4" t="s">
        <v>78</v>
      </c>
      <c r="D171" s="4" t="s">
        <v>832</v>
      </c>
      <c r="E171" s="4" t="s">
        <v>584</v>
      </c>
      <c r="F171" s="4" t="n">
        <v>10</v>
      </c>
      <c r="G171" s="4" t="s">
        <v>719</v>
      </c>
      <c r="H171" s="4" t="s">
        <v>81</v>
      </c>
      <c r="I171" s="4" t="s">
        <v>833</v>
      </c>
      <c r="J171" s="4" t="s">
        <v>825</v>
      </c>
      <c r="K171" s="4" t="s">
        <v>826</v>
      </c>
      <c r="L171" s="4" t="s">
        <v>721</v>
      </c>
    </row>
    <row r="172" customFormat="false" ht="23.85" hidden="false" customHeight="false" outlineLevel="0" collapsed="false">
      <c r="A172" s="4" t="s">
        <v>834</v>
      </c>
      <c r="B172" s="4" t="n">
        <v>7</v>
      </c>
      <c r="C172" s="4" t="s">
        <v>78</v>
      </c>
      <c r="D172" s="4" t="s">
        <v>835</v>
      </c>
      <c r="E172" s="4" t="s">
        <v>80</v>
      </c>
      <c r="F172" s="4" t="n">
        <v>8</v>
      </c>
      <c r="G172" s="4" t="s">
        <v>836</v>
      </c>
      <c r="H172" s="4" t="s">
        <v>81</v>
      </c>
      <c r="I172" s="4" t="s">
        <v>837</v>
      </c>
      <c r="J172" s="4" t="s">
        <v>825</v>
      </c>
      <c r="K172" s="4" t="s">
        <v>826</v>
      </c>
      <c r="L172" s="4" t="s">
        <v>838</v>
      </c>
    </row>
    <row r="173" customFormat="false" ht="23.85" hidden="false" customHeight="false" outlineLevel="0" collapsed="false">
      <c r="A173" s="4" t="s">
        <v>839</v>
      </c>
      <c r="B173" s="4" t="n">
        <v>7</v>
      </c>
      <c r="C173" s="4" t="s">
        <v>78</v>
      </c>
      <c r="D173" s="4" t="s">
        <v>840</v>
      </c>
      <c r="E173" s="4" t="s">
        <v>93</v>
      </c>
      <c r="F173" s="4" t="n">
        <v>8</v>
      </c>
      <c r="G173" s="4"/>
      <c r="H173" s="4" t="s">
        <v>81</v>
      </c>
      <c r="I173" s="4" t="s">
        <v>841</v>
      </c>
      <c r="J173" s="4" t="s">
        <v>825</v>
      </c>
      <c r="K173" s="4" t="s">
        <v>826</v>
      </c>
      <c r="L173" s="4" t="s">
        <v>85</v>
      </c>
    </row>
    <row r="174" customFormat="false" ht="23.85" hidden="false" customHeight="false" outlineLevel="0" collapsed="false">
      <c r="A174" s="4" t="s">
        <v>842</v>
      </c>
      <c r="B174" s="4" t="n">
        <v>7</v>
      </c>
      <c r="C174" s="4" t="s">
        <v>109</v>
      </c>
      <c r="D174" s="4" t="s">
        <v>843</v>
      </c>
      <c r="E174" s="4" t="s">
        <v>148</v>
      </c>
      <c r="F174" s="4" t="n">
        <v>16</v>
      </c>
      <c r="G174" s="4"/>
      <c r="H174" s="4" t="s">
        <v>81</v>
      </c>
      <c r="I174" s="4" t="s">
        <v>844</v>
      </c>
      <c r="J174" s="4" t="s">
        <v>825</v>
      </c>
      <c r="K174" s="4" t="s">
        <v>845</v>
      </c>
      <c r="L174" s="4" t="s">
        <v>85</v>
      </c>
    </row>
    <row r="175" customFormat="false" ht="23.85" hidden="false" customHeight="false" outlineLevel="0" collapsed="false">
      <c r="A175" s="4" t="s">
        <v>846</v>
      </c>
      <c r="B175" s="4" t="n">
        <v>7</v>
      </c>
      <c r="C175" s="4" t="s">
        <v>109</v>
      </c>
      <c r="D175" s="4" t="s">
        <v>847</v>
      </c>
      <c r="E175" s="4" t="s">
        <v>123</v>
      </c>
      <c r="F175" s="4" t="n">
        <v>16</v>
      </c>
      <c r="G175" s="4"/>
      <c r="H175" s="4" t="s">
        <v>81</v>
      </c>
      <c r="I175" s="4" t="s">
        <v>848</v>
      </c>
      <c r="J175" s="4" t="s">
        <v>825</v>
      </c>
      <c r="K175" s="4" t="s">
        <v>845</v>
      </c>
      <c r="L175" s="4" t="s">
        <v>85</v>
      </c>
    </row>
    <row r="176" customFormat="false" ht="23.85" hidden="false" customHeight="false" outlineLevel="0" collapsed="false">
      <c r="A176" s="4" t="s">
        <v>849</v>
      </c>
      <c r="B176" s="4" t="n">
        <v>7</v>
      </c>
      <c r="C176" s="4" t="s">
        <v>109</v>
      </c>
      <c r="D176" s="4" t="s">
        <v>850</v>
      </c>
      <c r="E176" s="4" t="s">
        <v>93</v>
      </c>
      <c r="F176" s="4" t="n">
        <v>14</v>
      </c>
      <c r="G176" s="4"/>
      <c r="H176" s="4" t="s">
        <v>81</v>
      </c>
      <c r="I176" s="4" t="s">
        <v>851</v>
      </c>
      <c r="J176" s="4" t="s">
        <v>825</v>
      </c>
      <c r="K176" s="4" t="s">
        <v>845</v>
      </c>
      <c r="L176" s="4" t="s">
        <v>85</v>
      </c>
    </row>
    <row r="177" customFormat="false" ht="23.85" hidden="false" customHeight="false" outlineLevel="0" collapsed="false">
      <c r="A177" s="4" t="s">
        <v>852</v>
      </c>
      <c r="B177" s="4" t="n">
        <v>7</v>
      </c>
      <c r="C177" s="4" t="s">
        <v>109</v>
      </c>
      <c r="D177" s="4" t="s">
        <v>853</v>
      </c>
      <c r="E177" s="4" t="s">
        <v>93</v>
      </c>
      <c r="F177" s="4" t="n">
        <v>6</v>
      </c>
      <c r="G177" s="4"/>
      <c r="H177" s="4" t="s">
        <v>81</v>
      </c>
      <c r="I177" s="4" t="s">
        <v>854</v>
      </c>
      <c r="J177" s="4" t="s">
        <v>825</v>
      </c>
      <c r="K177" s="4" t="s">
        <v>845</v>
      </c>
      <c r="L177" s="4" t="s">
        <v>85</v>
      </c>
    </row>
    <row r="178" customFormat="false" ht="23.85" hidden="false" customHeight="false" outlineLevel="0" collapsed="false">
      <c r="A178" s="4" t="s">
        <v>855</v>
      </c>
      <c r="B178" s="4" t="n">
        <v>7</v>
      </c>
      <c r="C178" s="4" t="s">
        <v>131</v>
      </c>
      <c r="D178" s="4" t="s">
        <v>856</v>
      </c>
      <c r="E178" s="4" t="s">
        <v>148</v>
      </c>
      <c r="F178" s="4" t="n">
        <v>8</v>
      </c>
      <c r="G178" s="4"/>
      <c r="H178" s="4" t="s">
        <v>81</v>
      </c>
      <c r="I178" s="4" t="s">
        <v>857</v>
      </c>
      <c r="J178" s="4" t="s">
        <v>825</v>
      </c>
      <c r="K178" s="4" t="s">
        <v>858</v>
      </c>
      <c r="L178" s="4" t="s">
        <v>85</v>
      </c>
    </row>
    <row r="179" customFormat="false" ht="449.25" hidden="false" customHeight="false" outlineLevel="0" collapsed="false">
      <c r="A179" s="4" t="s">
        <v>859</v>
      </c>
      <c r="B179" s="4" t="n">
        <v>7</v>
      </c>
      <c r="C179" s="4" t="s">
        <v>131</v>
      </c>
      <c r="D179" s="4" t="s">
        <v>860</v>
      </c>
      <c r="E179" s="4" t="s">
        <v>148</v>
      </c>
      <c r="F179" s="4" t="n">
        <v>24</v>
      </c>
      <c r="G179" s="4" t="s">
        <v>861</v>
      </c>
      <c r="H179" s="4" t="s">
        <v>81</v>
      </c>
      <c r="I179" s="4" t="s">
        <v>862</v>
      </c>
      <c r="J179" s="4" t="s">
        <v>825</v>
      </c>
      <c r="K179" s="4" t="s">
        <v>858</v>
      </c>
      <c r="L179" s="4" t="s">
        <v>863</v>
      </c>
    </row>
    <row r="180" customFormat="false" ht="23.85" hidden="false" customHeight="false" outlineLevel="0" collapsed="false">
      <c r="A180" s="4" t="s">
        <v>864</v>
      </c>
      <c r="B180" s="4" t="n">
        <v>7</v>
      </c>
      <c r="C180" s="4" t="s">
        <v>131</v>
      </c>
      <c r="D180" s="4" t="s">
        <v>865</v>
      </c>
      <c r="E180" s="4" t="s">
        <v>148</v>
      </c>
      <c r="F180" s="4" t="n">
        <v>6</v>
      </c>
      <c r="G180" s="4"/>
      <c r="H180" s="4" t="s">
        <v>81</v>
      </c>
      <c r="I180" s="4" t="s">
        <v>866</v>
      </c>
      <c r="J180" s="4" t="s">
        <v>825</v>
      </c>
      <c r="K180" s="4" t="s">
        <v>858</v>
      </c>
      <c r="L180" s="4" t="s">
        <v>85</v>
      </c>
    </row>
    <row r="181" customFormat="false" ht="23.85" hidden="false" customHeight="false" outlineLevel="0" collapsed="false">
      <c r="A181" s="4" t="s">
        <v>867</v>
      </c>
      <c r="B181" s="4" t="n">
        <v>7</v>
      </c>
      <c r="C181" s="4" t="s">
        <v>131</v>
      </c>
      <c r="D181" s="4" t="s">
        <v>868</v>
      </c>
      <c r="E181" s="4" t="s">
        <v>148</v>
      </c>
      <c r="F181" s="4" t="n">
        <v>8</v>
      </c>
      <c r="G181" s="4"/>
      <c r="H181" s="4" t="s">
        <v>81</v>
      </c>
      <c r="I181" s="4" t="s">
        <v>869</v>
      </c>
      <c r="J181" s="4" t="s">
        <v>825</v>
      </c>
      <c r="K181" s="4" t="s">
        <v>858</v>
      </c>
      <c r="L181" s="4" t="s">
        <v>85</v>
      </c>
    </row>
    <row r="182" customFormat="false" ht="23.85" hidden="false" customHeight="false" outlineLevel="0" collapsed="false">
      <c r="A182" s="4" t="s">
        <v>870</v>
      </c>
      <c r="B182" s="4" t="n">
        <v>7</v>
      </c>
      <c r="C182" s="4" t="s">
        <v>131</v>
      </c>
      <c r="D182" s="4" t="s">
        <v>871</v>
      </c>
      <c r="E182" s="4" t="s">
        <v>148</v>
      </c>
      <c r="F182" s="4" t="n">
        <v>6</v>
      </c>
      <c r="G182" s="4"/>
      <c r="H182" s="4" t="s">
        <v>81</v>
      </c>
      <c r="I182" s="4" t="s">
        <v>872</v>
      </c>
      <c r="J182" s="4" t="s">
        <v>825</v>
      </c>
      <c r="K182" s="4" t="s">
        <v>858</v>
      </c>
      <c r="L182" s="4" t="s">
        <v>85</v>
      </c>
    </row>
    <row r="183" customFormat="false" ht="23.85" hidden="false" customHeight="false" outlineLevel="0" collapsed="false">
      <c r="A183" s="4" t="s">
        <v>873</v>
      </c>
      <c r="B183" s="4" t="n">
        <v>7</v>
      </c>
      <c r="C183" s="4" t="s">
        <v>156</v>
      </c>
      <c r="D183" s="4" t="s">
        <v>874</v>
      </c>
      <c r="E183" s="4" t="s">
        <v>148</v>
      </c>
      <c r="F183" s="4" t="n">
        <v>10</v>
      </c>
      <c r="G183" s="4" t="s">
        <v>348</v>
      </c>
      <c r="H183" s="4" t="s">
        <v>81</v>
      </c>
      <c r="I183" s="4" t="s">
        <v>875</v>
      </c>
      <c r="J183" s="4" t="s">
        <v>825</v>
      </c>
      <c r="K183" s="4" t="s">
        <v>876</v>
      </c>
      <c r="L183" s="4" t="s">
        <v>350</v>
      </c>
    </row>
    <row r="184" customFormat="false" ht="35.05" hidden="false" customHeight="false" outlineLevel="0" collapsed="false">
      <c r="A184" s="4" t="s">
        <v>877</v>
      </c>
      <c r="B184" s="4" t="n">
        <v>7</v>
      </c>
      <c r="C184" s="4" t="s">
        <v>156</v>
      </c>
      <c r="D184" s="4" t="s">
        <v>878</v>
      </c>
      <c r="E184" s="4" t="s">
        <v>93</v>
      </c>
      <c r="F184" s="4" t="n">
        <v>8</v>
      </c>
      <c r="G184" s="4" t="s">
        <v>879</v>
      </c>
      <c r="H184" s="4" t="s">
        <v>81</v>
      </c>
      <c r="I184" s="4" t="s">
        <v>880</v>
      </c>
      <c r="J184" s="4" t="s">
        <v>825</v>
      </c>
      <c r="K184" s="4" t="s">
        <v>876</v>
      </c>
      <c r="L184" s="4" t="s">
        <v>881</v>
      </c>
    </row>
    <row r="185" customFormat="false" ht="23.85" hidden="false" customHeight="false" outlineLevel="0" collapsed="false">
      <c r="A185" s="4" t="s">
        <v>882</v>
      </c>
      <c r="B185" s="4" t="n">
        <v>7</v>
      </c>
      <c r="C185" s="4" t="s">
        <v>156</v>
      </c>
      <c r="D185" s="4" t="s">
        <v>883</v>
      </c>
      <c r="E185" s="4" t="s">
        <v>93</v>
      </c>
      <c r="F185" s="4" t="n">
        <v>8</v>
      </c>
      <c r="G185" s="4"/>
      <c r="H185" s="4" t="s">
        <v>81</v>
      </c>
      <c r="I185" s="4" t="s">
        <v>884</v>
      </c>
      <c r="J185" s="4" t="s">
        <v>825</v>
      </c>
      <c r="K185" s="4" t="s">
        <v>876</v>
      </c>
      <c r="L185" s="4" t="s">
        <v>85</v>
      </c>
    </row>
    <row r="186" customFormat="false" ht="23.85" hidden="false" customHeight="false" outlineLevel="0" collapsed="false">
      <c r="A186" s="4" t="s">
        <v>885</v>
      </c>
      <c r="B186" s="4" t="n">
        <v>7</v>
      </c>
      <c r="C186" s="4" t="s">
        <v>156</v>
      </c>
      <c r="D186" s="4" t="s">
        <v>886</v>
      </c>
      <c r="E186" s="4" t="s">
        <v>158</v>
      </c>
      <c r="F186" s="4" t="n">
        <v>14</v>
      </c>
      <c r="G186" s="4"/>
      <c r="H186" s="4" t="s">
        <v>81</v>
      </c>
      <c r="I186" s="4" t="s">
        <v>848</v>
      </c>
      <c r="J186" s="4" t="s">
        <v>825</v>
      </c>
      <c r="K186" s="4" t="s">
        <v>876</v>
      </c>
      <c r="L186" s="4" t="s">
        <v>85</v>
      </c>
    </row>
    <row r="187" customFormat="false" ht="23.85" hidden="false" customHeight="false" outlineLevel="0" collapsed="false">
      <c r="A187" s="4" t="s">
        <v>887</v>
      </c>
      <c r="B187" s="4" t="n">
        <v>7</v>
      </c>
      <c r="C187" s="4" t="s">
        <v>156</v>
      </c>
      <c r="D187" s="4" t="s">
        <v>888</v>
      </c>
      <c r="E187" s="4" t="s">
        <v>93</v>
      </c>
      <c r="F187" s="4" t="n">
        <v>12</v>
      </c>
      <c r="G187" s="4"/>
      <c r="H187" s="4" t="s">
        <v>81</v>
      </c>
      <c r="I187" s="4" t="s">
        <v>889</v>
      </c>
      <c r="J187" s="4" t="s">
        <v>825</v>
      </c>
      <c r="K187" s="4" t="s">
        <v>876</v>
      </c>
      <c r="L187" s="4" t="s">
        <v>85</v>
      </c>
    </row>
    <row r="188" customFormat="false" ht="23.85" hidden="false" customHeight="false" outlineLevel="0" collapsed="false">
      <c r="A188" s="4" t="s">
        <v>890</v>
      </c>
      <c r="B188" s="4" t="n">
        <v>7</v>
      </c>
      <c r="C188" s="4" t="s">
        <v>184</v>
      </c>
      <c r="D188" s="4" t="s">
        <v>891</v>
      </c>
      <c r="E188" s="4" t="s">
        <v>148</v>
      </c>
      <c r="F188" s="4" t="n">
        <v>16</v>
      </c>
      <c r="G188" s="4"/>
      <c r="H188" s="4" t="s">
        <v>81</v>
      </c>
      <c r="I188" s="4" t="s">
        <v>892</v>
      </c>
      <c r="J188" s="4" t="s">
        <v>825</v>
      </c>
      <c r="K188" s="4" t="s">
        <v>893</v>
      </c>
      <c r="L188" s="4" t="s">
        <v>85</v>
      </c>
    </row>
    <row r="189" customFormat="false" ht="23.85" hidden="false" customHeight="false" outlineLevel="0" collapsed="false">
      <c r="A189" s="4" t="s">
        <v>894</v>
      </c>
      <c r="B189" s="4" t="n">
        <v>7</v>
      </c>
      <c r="C189" s="4" t="s">
        <v>184</v>
      </c>
      <c r="D189" s="4" t="s">
        <v>895</v>
      </c>
      <c r="E189" s="4" t="s">
        <v>186</v>
      </c>
      <c r="F189" s="4" t="n">
        <v>18</v>
      </c>
      <c r="G189" s="4"/>
      <c r="H189" s="4" t="s">
        <v>81</v>
      </c>
      <c r="I189" s="4" t="s">
        <v>896</v>
      </c>
      <c r="J189" s="4" t="s">
        <v>825</v>
      </c>
      <c r="K189" s="4" t="s">
        <v>893</v>
      </c>
      <c r="L189" s="4" t="s">
        <v>85</v>
      </c>
    </row>
    <row r="190" customFormat="false" ht="23.85" hidden="false" customHeight="false" outlineLevel="0" collapsed="false">
      <c r="A190" s="4" t="s">
        <v>897</v>
      </c>
      <c r="B190" s="4" t="n">
        <v>7</v>
      </c>
      <c r="C190" s="4" t="s">
        <v>184</v>
      </c>
      <c r="D190" s="4" t="s">
        <v>898</v>
      </c>
      <c r="E190" s="4" t="s">
        <v>93</v>
      </c>
      <c r="F190" s="4" t="n">
        <v>14</v>
      </c>
      <c r="G190" s="4"/>
      <c r="H190" s="4" t="s">
        <v>81</v>
      </c>
      <c r="I190" s="4" t="s">
        <v>899</v>
      </c>
      <c r="J190" s="4" t="s">
        <v>825</v>
      </c>
      <c r="K190" s="4" t="s">
        <v>893</v>
      </c>
      <c r="L190" s="4" t="s">
        <v>85</v>
      </c>
    </row>
    <row r="191" customFormat="false" ht="23.85" hidden="false" customHeight="false" outlineLevel="0" collapsed="false">
      <c r="A191" s="4" t="s">
        <v>900</v>
      </c>
      <c r="B191" s="4" t="n">
        <v>7</v>
      </c>
      <c r="C191" s="4" t="s">
        <v>184</v>
      </c>
      <c r="D191" s="4" t="s">
        <v>901</v>
      </c>
      <c r="E191" s="4" t="s">
        <v>186</v>
      </c>
      <c r="F191" s="4" t="n">
        <v>4</v>
      </c>
      <c r="G191" s="4" t="s">
        <v>902</v>
      </c>
      <c r="H191" s="4" t="s">
        <v>81</v>
      </c>
      <c r="I191" s="4" t="s">
        <v>903</v>
      </c>
      <c r="J191" s="4" t="s">
        <v>825</v>
      </c>
      <c r="K191" s="4" t="s">
        <v>893</v>
      </c>
      <c r="L191" s="4" t="s">
        <v>904</v>
      </c>
    </row>
    <row r="192" customFormat="false" ht="15" hidden="false" customHeight="false" outlineLevel="0" collapsed="false">
      <c r="A192" s="5" t="s">
        <v>905</v>
      </c>
      <c r="B192" s="5" t="n">
        <v>8</v>
      </c>
      <c r="C192" s="5" t="s">
        <v>78</v>
      </c>
      <c r="D192" s="5" t="s">
        <v>906</v>
      </c>
      <c r="E192" s="5" t="s">
        <v>80</v>
      </c>
      <c r="F192" s="5" t="n">
        <v>14</v>
      </c>
      <c r="G192" s="5"/>
      <c r="H192" s="5" t="s">
        <v>81</v>
      </c>
      <c r="I192" s="5" t="s">
        <v>907</v>
      </c>
      <c r="J192" s="5" t="s">
        <v>908</v>
      </c>
      <c r="K192" s="5" t="s">
        <v>909</v>
      </c>
      <c r="L192" s="5" t="s">
        <v>85</v>
      </c>
    </row>
    <row r="193" customFormat="false" ht="15" hidden="false" customHeight="false" outlineLevel="0" collapsed="false">
      <c r="A193" s="5" t="s">
        <v>910</v>
      </c>
      <c r="B193" s="5" t="n">
        <v>8</v>
      </c>
      <c r="C193" s="5" t="s">
        <v>78</v>
      </c>
      <c r="D193" s="5" t="s">
        <v>911</v>
      </c>
      <c r="E193" s="5" t="s">
        <v>80</v>
      </c>
      <c r="F193" s="5" t="n">
        <v>10</v>
      </c>
      <c r="G193" s="5"/>
      <c r="H193" s="5" t="s">
        <v>81</v>
      </c>
      <c r="I193" s="5" t="s">
        <v>912</v>
      </c>
      <c r="J193" s="5" t="s">
        <v>908</v>
      </c>
      <c r="K193" s="5" t="s">
        <v>909</v>
      </c>
      <c r="L193" s="5" t="s">
        <v>85</v>
      </c>
    </row>
    <row r="194" customFormat="false" ht="15" hidden="false" customHeight="false" outlineLevel="0" collapsed="false">
      <c r="A194" s="5" t="s">
        <v>913</v>
      </c>
      <c r="B194" s="5" t="n">
        <v>8</v>
      </c>
      <c r="C194" s="5" t="s">
        <v>78</v>
      </c>
      <c r="D194" s="5" t="s">
        <v>914</v>
      </c>
      <c r="E194" s="5" t="s">
        <v>93</v>
      </c>
      <c r="F194" s="5" t="n">
        <v>8</v>
      </c>
      <c r="G194" s="5"/>
      <c r="H194" s="5" t="s">
        <v>81</v>
      </c>
      <c r="I194" s="5" t="s">
        <v>915</v>
      </c>
      <c r="J194" s="5" t="s">
        <v>908</v>
      </c>
      <c r="K194" s="5" t="s">
        <v>909</v>
      </c>
      <c r="L194" s="5" t="s">
        <v>85</v>
      </c>
    </row>
    <row r="195" customFormat="false" ht="15" hidden="false" customHeight="false" outlineLevel="0" collapsed="false">
      <c r="A195" s="5" t="s">
        <v>916</v>
      </c>
      <c r="B195" s="5" t="n">
        <v>8</v>
      </c>
      <c r="C195" s="5" t="s">
        <v>78</v>
      </c>
      <c r="D195" s="5" t="s">
        <v>917</v>
      </c>
      <c r="E195" s="5" t="s">
        <v>93</v>
      </c>
      <c r="F195" s="5" t="n">
        <v>8</v>
      </c>
      <c r="G195" s="5"/>
      <c r="H195" s="5" t="s">
        <v>81</v>
      </c>
      <c r="I195" s="5" t="s">
        <v>918</v>
      </c>
      <c r="J195" s="5" t="s">
        <v>908</v>
      </c>
      <c r="K195" s="5" t="s">
        <v>909</v>
      </c>
      <c r="L195" s="5" t="s">
        <v>85</v>
      </c>
    </row>
    <row r="196" customFormat="false" ht="15" hidden="false" customHeight="false" outlineLevel="0" collapsed="false">
      <c r="A196" s="5" t="s">
        <v>919</v>
      </c>
      <c r="B196" s="5" t="n">
        <v>8</v>
      </c>
      <c r="C196" s="5" t="s">
        <v>78</v>
      </c>
      <c r="D196" s="5" t="s">
        <v>920</v>
      </c>
      <c r="E196" s="5" t="s">
        <v>93</v>
      </c>
      <c r="F196" s="5" t="n">
        <v>6</v>
      </c>
      <c r="G196" s="5"/>
      <c r="H196" s="5" t="s">
        <v>81</v>
      </c>
      <c r="I196" s="5" t="s">
        <v>921</v>
      </c>
      <c r="J196" s="5" t="s">
        <v>908</v>
      </c>
      <c r="K196" s="5" t="s">
        <v>909</v>
      </c>
      <c r="L196" s="5" t="s">
        <v>85</v>
      </c>
    </row>
    <row r="197" customFormat="false" ht="15" hidden="false" customHeight="false" outlineLevel="0" collapsed="false">
      <c r="A197" s="5" t="s">
        <v>922</v>
      </c>
      <c r="B197" s="5" t="n">
        <v>8</v>
      </c>
      <c r="C197" s="5" t="s">
        <v>78</v>
      </c>
      <c r="D197" s="5" t="s">
        <v>923</v>
      </c>
      <c r="E197" s="5" t="s">
        <v>80</v>
      </c>
      <c r="F197" s="5" t="n">
        <v>6</v>
      </c>
      <c r="G197" s="5"/>
      <c r="H197" s="5" t="s">
        <v>81</v>
      </c>
      <c r="I197" s="5" t="s">
        <v>924</v>
      </c>
      <c r="J197" s="5" t="s">
        <v>908</v>
      </c>
      <c r="K197" s="5" t="s">
        <v>909</v>
      </c>
      <c r="L197" s="5" t="s">
        <v>85</v>
      </c>
    </row>
    <row r="198" customFormat="false" ht="15" hidden="false" customHeight="false" outlineLevel="0" collapsed="false">
      <c r="A198" s="5" t="s">
        <v>925</v>
      </c>
      <c r="B198" s="5" t="n">
        <v>8</v>
      </c>
      <c r="C198" s="5" t="s">
        <v>109</v>
      </c>
      <c r="D198" s="5" t="s">
        <v>926</v>
      </c>
      <c r="E198" s="5" t="s">
        <v>123</v>
      </c>
      <c r="F198" s="5" t="n">
        <v>14</v>
      </c>
      <c r="G198" s="5"/>
      <c r="H198" s="5" t="s">
        <v>81</v>
      </c>
      <c r="I198" s="5" t="s">
        <v>927</v>
      </c>
      <c r="J198" s="5" t="s">
        <v>908</v>
      </c>
      <c r="K198" s="5" t="s">
        <v>928</v>
      </c>
      <c r="L198" s="5" t="s">
        <v>85</v>
      </c>
    </row>
    <row r="199" customFormat="false" ht="15" hidden="false" customHeight="false" outlineLevel="0" collapsed="false">
      <c r="A199" s="5" t="s">
        <v>929</v>
      </c>
      <c r="B199" s="5" t="n">
        <v>8</v>
      </c>
      <c r="C199" s="5" t="s">
        <v>109</v>
      </c>
      <c r="D199" s="5" t="s">
        <v>930</v>
      </c>
      <c r="E199" s="5" t="s">
        <v>93</v>
      </c>
      <c r="F199" s="5" t="n">
        <v>10</v>
      </c>
      <c r="G199" s="5"/>
      <c r="H199" s="5" t="s">
        <v>81</v>
      </c>
      <c r="I199" s="5" t="s">
        <v>931</v>
      </c>
      <c r="J199" s="5" t="s">
        <v>908</v>
      </c>
      <c r="K199" s="5" t="s">
        <v>928</v>
      </c>
      <c r="L199" s="5" t="s">
        <v>85</v>
      </c>
    </row>
    <row r="200" customFormat="false" ht="15" hidden="false" customHeight="false" outlineLevel="0" collapsed="false">
      <c r="A200" s="5" t="s">
        <v>932</v>
      </c>
      <c r="B200" s="5" t="n">
        <v>8</v>
      </c>
      <c r="C200" s="5" t="s">
        <v>109</v>
      </c>
      <c r="D200" s="5" t="s">
        <v>933</v>
      </c>
      <c r="E200" s="5" t="s">
        <v>93</v>
      </c>
      <c r="F200" s="5" t="n">
        <v>10</v>
      </c>
      <c r="G200" s="5"/>
      <c r="H200" s="5" t="s">
        <v>81</v>
      </c>
      <c r="I200" s="5" t="s">
        <v>934</v>
      </c>
      <c r="J200" s="5" t="s">
        <v>908</v>
      </c>
      <c r="K200" s="5" t="s">
        <v>928</v>
      </c>
      <c r="L200" s="5" t="s">
        <v>85</v>
      </c>
    </row>
    <row r="201" customFormat="false" ht="15" hidden="false" customHeight="false" outlineLevel="0" collapsed="false">
      <c r="A201" s="5" t="s">
        <v>935</v>
      </c>
      <c r="B201" s="5" t="n">
        <v>8</v>
      </c>
      <c r="C201" s="5" t="s">
        <v>109</v>
      </c>
      <c r="D201" s="5" t="s">
        <v>936</v>
      </c>
      <c r="E201" s="5" t="s">
        <v>93</v>
      </c>
      <c r="F201" s="5" t="n">
        <v>10</v>
      </c>
      <c r="G201" s="5"/>
      <c r="H201" s="5" t="s">
        <v>81</v>
      </c>
      <c r="I201" s="5" t="s">
        <v>937</v>
      </c>
      <c r="J201" s="5" t="s">
        <v>908</v>
      </c>
      <c r="K201" s="5" t="s">
        <v>928</v>
      </c>
      <c r="L201" s="5" t="s">
        <v>85</v>
      </c>
    </row>
    <row r="202" customFormat="false" ht="15" hidden="false" customHeight="false" outlineLevel="0" collapsed="false">
      <c r="A202" s="5" t="s">
        <v>938</v>
      </c>
      <c r="B202" s="5" t="n">
        <v>8</v>
      </c>
      <c r="C202" s="5" t="s">
        <v>109</v>
      </c>
      <c r="D202" s="5" t="s">
        <v>939</v>
      </c>
      <c r="E202" s="5" t="s">
        <v>93</v>
      </c>
      <c r="F202" s="5" t="n">
        <v>8</v>
      </c>
      <c r="G202" s="5"/>
      <c r="H202" s="5" t="s">
        <v>81</v>
      </c>
      <c r="I202" s="5" t="s">
        <v>940</v>
      </c>
      <c r="J202" s="5" t="s">
        <v>908</v>
      </c>
      <c r="K202" s="5" t="s">
        <v>928</v>
      </c>
      <c r="L202" s="5" t="s">
        <v>85</v>
      </c>
    </row>
    <row r="203" customFormat="false" ht="15" hidden="false" customHeight="false" outlineLevel="0" collapsed="false">
      <c r="A203" s="5" t="s">
        <v>941</v>
      </c>
      <c r="B203" s="5" t="n">
        <v>8</v>
      </c>
      <c r="C203" s="5" t="s">
        <v>131</v>
      </c>
      <c r="D203" s="5" t="s">
        <v>942</v>
      </c>
      <c r="E203" s="5" t="s">
        <v>148</v>
      </c>
      <c r="F203" s="5" t="n">
        <v>10</v>
      </c>
      <c r="G203" s="5"/>
      <c r="H203" s="5" t="s">
        <v>81</v>
      </c>
      <c r="I203" s="5" t="s">
        <v>943</v>
      </c>
      <c r="J203" s="5" t="s">
        <v>908</v>
      </c>
      <c r="K203" s="5" t="s">
        <v>944</v>
      </c>
      <c r="L203" s="5" t="s">
        <v>85</v>
      </c>
    </row>
    <row r="204" customFormat="false" ht="15" hidden="false" customHeight="false" outlineLevel="0" collapsed="false">
      <c r="A204" s="5" t="s">
        <v>945</v>
      </c>
      <c r="B204" s="5" t="n">
        <v>8</v>
      </c>
      <c r="C204" s="5" t="s">
        <v>131</v>
      </c>
      <c r="D204" s="5" t="s">
        <v>946</v>
      </c>
      <c r="E204" s="5" t="s">
        <v>148</v>
      </c>
      <c r="F204" s="5" t="n">
        <v>10</v>
      </c>
      <c r="G204" s="5"/>
      <c r="H204" s="5" t="s">
        <v>81</v>
      </c>
      <c r="I204" s="5" t="s">
        <v>947</v>
      </c>
      <c r="J204" s="5" t="s">
        <v>908</v>
      </c>
      <c r="K204" s="5" t="s">
        <v>944</v>
      </c>
      <c r="L204" s="5" t="s">
        <v>85</v>
      </c>
    </row>
    <row r="205" customFormat="false" ht="15" hidden="false" customHeight="false" outlineLevel="0" collapsed="false">
      <c r="A205" s="5" t="s">
        <v>948</v>
      </c>
      <c r="B205" s="5" t="n">
        <v>8</v>
      </c>
      <c r="C205" s="5" t="s">
        <v>131</v>
      </c>
      <c r="D205" s="5" t="s">
        <v>949</v>
      </c>
      <c r="E205" s="5" t="s">
        <v>372</v>
      </c>
      <c r="F205" s="5" t="n">
        <v>12</v>
      </c>
      <c r="G205" s="5"/>
      <c r="H205" s="5" t="s">
        <v>81</v>
      </c>
      <c r="I205" s="5" t="s">
        <v>927</v>
      </c>
      <c r="J205" s="5" t="s">
        <v>908</v>
      </c>
      <c r="K205" s="5" t="s">
        <v>944</v>
      </c>
      <c r="L205" s="5" t="s">
        <v>85</v>
      </c>
    </row>
    <row r="206" customFormat="false" ht="15" hidden="false" customHeight="false" outlineLevel="0" collapsed="false">
      <c r="A206" s="5" t="s">
        <v>950</v>
      </c>
      <c r="B206" s="5" t="n">
        <v>8</v>
      </c>
      <c r="C206" s="5" t="s">
        <v>131</v>
      </c>
      <c r="D206" s="5" t="s">
        <v>951</v>
      </c>
      <c r="E206" s="5" t="s">
        <v>93</v>
      </c>
      <c r="F206" s="5" t="n">
        <v>10</v>
      </c>
      <c r="G206" s="5"/>
      <c r="H206" s="5" t="s">
        <v>81</v>
      </c>
      <c r="I206" s="5" t="s">
        <v>952</v>
      </c>
      <c r="J206" s="5" t="s">
        <v>908</v>
      </c>
      <c r="K206" s="5" t="s">
        <v>944</v>
      </c>
      <c r="L206" s="5" t="s">
        <v>85</v>
      </c>
    </row>
    <row r="207" customFormat="false" ht="15" hidden="false" customHeight="false" outlineLevel="0" collapsed="false">
      <c r="A207" s="5" t="s">
        <v>953</v>
      </c>
      <c r="B207" s="5" t="n">
        <v>8</v>
      </c>
      <c r="C207" s="5" t="s">
        <v>131</v>
      </c>
      <c r="D207" s="5" t="s">
        <v>954</v>
      </c>
      <c r="E207" s="5" t="s">
        <v>93</v>
      </c>
      <c r="F207" s="5" t="n">
        <v>10</v>
      </c>
      <c r="G207" s="5"/>
      <c r="H207" s="5" t="s">
        <v>81</v>
      </c>
      <c r="I207" s="5" t="s">
        <v>955</v>
      </c>
      <c r="J207" s="5" t="s">
        <v>908</v>
      </c>
      <c r="K207" s="5" t="s">
        <v>944</v>
      </c>
      <c r="L207" s="5" t="s">
        <v>85</v>
      </c>
    </row>
    <row r="208" customFormat="false" ht="15" hidden="false" customHeight="false" outlineLevel="0" collapsed="false">
      <c r="A208" s="5" t="s">
        <v>956</v>
      </c>
      <c r="B208" s="5" t="n">
        <v>8</v>
      </c>
      <c r="C208" s="5" t="s">
        <v>156</v>
      </c>
      <c r="D208" s="5" t="s">
        <v>957</v>
      </c>
      <c r="E208" s="5" t="s">
        <v>158</v>
      </c>
      <c r="F208" s="5" t="n">
        <v>12</v>
      </c>
      <c r="G208" s="5"/>
      <c r="H208" s="5" t="s">
        <v>81</v>
      </c>
      <c r="I208" s="5" t="s">
        <v>927</v>
      </c>
      <c r="J208" s="5" t="s">
        <v>908</v>
      </c>
      <c r="K208" s="5" t="s">
        <v>958</v>
      </c>
      <c r="L208" s="5" t="s">
        <v>85</v>
      </c>
    </row>
    <row r="209" customFormat="false" ht="15" hidden="false" customHeight="false" outlineLevel="0" collapsed="false">
      <c r="A209" s="5" t="s">
        <v>959</v>
      </c>
      <c r="B209" s="5" t="n">
        <v>8</v>
      </c>
      <c r="C209" s="5" t="s">
        <v>156</v>
      </c>
      <c r="D209" s="5" t="s">
        <v>960</v>
      </c>
      <c r="E209" s="5" t="s">
        <v>158</v>
      </c>
      <c r="F209" s="5" t="n">
        <v>10</v>
      </c>
      <c r="G209" s="5"/>
      <c r="H209" s="5" t="s">
        <v>81</v>
      </c>
      <c r="I209" s="5" t="s">
        <v>961</v>
      </c>
      <c r="J209" s="5" t="s">
        <v>908</v>
      </c>
      <c r="K209" s="5" t="s">
        <v>958</v>
      </c>
      <c r="L209" s="5" t="s">
        <v>85</v>
      </c>
    </row>
    <row r="210" customFormat="false" ht="15" hidden="false" customHeight="false" outlineLevel="0" collapsed="false">
      <c r="A210" s="5" t="s">
        <v>962</v>
      </c>
      <c r="B210" s="5" t="n">
        <v>8</v>
      </c>
      <c r="C210" s="5" t="s">
        <v>156</v>
      </c>
      <c r="D210" s="5" t="s">
        <v>963</v>
      </c>
      <c r="E210" s="5" t="s">
        <v>158</v>
      </c>
      <c r="F210" s="5" t="n">
        <v>10</v>
      </c>
      <c r="G210" s="5"/>
      <c r="H210" s="5" t="s">
        <v>81</v>
      </c>
      <c r="I210" s="5" t="s">
        <v>964</v>
      </c>
      <c r="J210" s="5" t="s">
        <v>908</v>
      </c>
      <c r="K210" s="5" t="s">
        <v>958</v>
      </c>
      <c r="L210" s="5" t="s">
        <v>85</v>
      </c>
    </row>
    <row r="211" customFormat="false" ht="15" hidden="false" customHeight="false" outlineLevel="0" collapsed="false">
      <c r="A211" s="5" t="s">
        <v>965</v>
      </c>
      <c r="B211" s="5" t="n">
        <v>8</v>
      </c>
      <c r="C211" s="5" t="s">
        <v>156</v>
      </c>
      <c r="D211" s="5" t="s">
        <v>966</v>
      </c>
      <c r="E211" s="5" t="s">
        <v>93</v>
      </c>
      <c r="F211" s="5" t="n">
        <v>10</v>
      </c>
      <c r="G211" s="5"/>
      <c r="H211" s="5" t="s">
        <v>81</v>
      </c>
      <c r="I211" s="5" t="s">
        <v>967</v>
      </c>
      <c r="J211" s="5" t="s">
        <v>908</v>
      </c>
      <c r="K211" s="5" t="s">
        <v>958</v>
      </c>
      <c r="L211" s="5" t="s">
        <v>85</v>
      </c>
    </row>
    <row r="212" customFormat="false" ht="15" hidden="false" customHeight="false" outlineLevel="0" collapsed="false">
      <c r="A212" s="5" t="s">
        <v>968</v>
      </c>
      <c r="B212" s="5" t="n">
        <v>8</v>
      </c>
      <c r="C212" s="5" t="s">
        <v>156</v>
      </c>
      <c r="D212" s="5" t="s">
        <v>969</v>
      </c>
      <c r="E212" s="5" t="s">
        <v>93</v>
      </c>
      <c r="F212" s="5" t="n">
        <v>10</v>
      </c>
      <c r="G212" s="5"/>
      <c r="H212" s="5" t="s">
        <v>81</v>
      </c>
      <c r="I212" s="5" t="s">
        <v>970</v>
      </c>
      <c r="J212" s="5" t="s">
        <v>908</v>
      </c>
      <c r="K212" s="5" t="s">
        <v>958</v>
      </c>
      <c r="L212" s="5" t="s">
        <v>85</v>
      </c>
    </row>
    <row r="213" customFormat="false" ht="15" hidden="false" customHeight="false" outlineLevel="0" collapsed="false">
      <c r="A213" s="5" t="s">
        <v>971</v>
      </c>
      <c r="B213" s="5" t="n">
        <v>8</v>
      </c>
      <c r="C213" s="5" t="s">
        <v>184</v>
      </c>
      <c r="D213" s="5" t="s">
        <v>972</v>
      </c>
      <c r="E213" s="5" t="s">
        <v>186</v>
      </c>
      <c r="F213" s="5" t="n">
        <v>14</v>
      </c>
      <c r="G213" s="5"/>
      <c r="H213" s="5" t="s">
        <v>81</v>
      </c>
      <c r="I213" s="5" t="s">
        <v>927</v>
      </c>
      <c r="J213" s="5" t="s">
        <v>908</v>
      </c>
      <c r="K213" s="5" t="s">
        <v>973</v>
      </c>
      <c r="L213" s="5" t="s">
        <v>85</v>
      </c>
    </row>
    <row r="214" customFormat="false" ht="15" hidden="false" customHeight="false" outlineLevel="0" collapsed="false">
      <c r="A214" s="5" t="s">
        <v>974</v>
      </c>
      <c r="B214" s="5" t="n">
        <v>8</v>
      </c>
      <c r="C214" s="5" t="s">
        <v>184</v>
      </c>
      <c r="D214" s="5" t="s">
        <v>975</v>
      </c>
      <c r="E214" s="5" t="s">
        <v>93</v>
      </c>
      <c r="F214" s="5" t="n">
        <v>10</v>
      </c>
      <c r="G214" s="5"/>
      <c r="H214" s="5" t="s">
        <v>81</v>
      </c>
      <c r="I214" s="5" t="s">
        <v>976</v>
      </c>
      <c r="J214" s="5" t="s">
        <v>908</v>
      </c>
      <c r="K214" s="5" t="s">
        <v>973</v>
      </c>
      <c r="L214" s="5" t="s">
        <v>85</v>
      </c>
    </row>
    <row r="215" customFormat="false" ht="15" hidden="false" customHeight="false" outlineLevel="0" collapsed="false">
      <c r="A215" s="5" t="s">
        <v>977</v>
      </c>
      <c r="B215" s="5" t="n">
        <v>8</v>
      </c>
      <c r="C215" s="5" t="s">
        <v>184</v>
      </c>
      <c r="D215" s="5" t="s">
        <v>978</v>
      </c>
      <c r="E215" s="5" t="s">
        <v>93</v>
      </c>
      <c r="F215" s="5" t="n">
        <v>12</v>
      </c>
      <c r="G215" s="5"/>
      <c r="H215" s="5" t="s">
        <v>81</v>
      </c>
      <c r="I215" s="5" t="s">
        <v>979</v>
      </c>
      <c r="J215" s="5" t="s">
        <v>908</v>
      </c>
      <c r="K215" s="5" t="s">
        <v>973</v>
      </c>
      <c r="L215" s="5" t="s">
        <v>85</v>
      </c>
    </row>
    <row r="216" customFormat="false" ht="15" hidden="false" customHeight="false" outlineLevel="0" collapsed="false">
      <c r="A216" s="5" t="s">
        <v>980</v>
      </c>
      <c r="B216" s="5" t="n">
        <v>8</v>
      </c>
      <c r="C216" s="5" t="s">
        <v>184</v>
      </c>
      <c r="D216" s="5" t="s">
        <v>981</v>
      </c>
      <c r="E216" s="5" t="s">
        <v>93</v>
      </c>
      <c r="F216" s="5" t="n">
        <v>8</v>
      </c>
      <c r="G216" s="5"/>
      <c r="H216" s="5" t="s">
        <v>81</v>
      </c>
      <c r="I216" s="5" t="s">
        <v>982</v>
      </c>
      <c r="J216" s="5" t="s">
        <v>908</v>
      </c>
      <c r="K216" s="5" t="s">
        <v>973</v>
      </c>
      <c r="L216" s="5" t="s">
        <v>85</v>
      </c>
    </row>
    <row r="217" customFormat="false" ht="15" hidden="false" customHeight="false" outlineLevel="0" collapsed="false">
      <c r="A217" s="5" t="s">
        <v>983</v>
      </c>
      <c r="B217" s="5" t="n">
        <v>8</v>
      </c>
      <c r="C217" s="5" t="s">
        <v>184</v>
      </c>
      <c r="D217" s="5" t="s">
        <v>984</v>
      </c>
      <c r="E217" s="5" t="s">
        <v>148</v>
      </c>
      <c r="F217" s="5" t="n">
        <v>8</v>
      </c>
      <c r="G217" s="5" t="s">
        <v>187</v>
      </c>
      <c r="H217" s="5" t="s">
        <v>81</v>
      </c>
      <c r="I217" s="5" t="s">
        <v>985</v>
      </c>
      <c r="J217" s="5" t="s">
        <v>908</v>
      </c>
      <c r="K217" s="5" t="s">
        <v>973</v>
      </c>
      <c r="L217" s="5" t="s">
        <v>190</v>
      </c>
    </row>
  </sheetData>
  <autoFilter ref="A1:K2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14"/>
  </cols>
  <sheetData>
    <row r="1" customFormat="false" ht="15" hidden="false" customHeight="false" outlineLevel="0" collapsed="false">
      <c r="A1" s="7" t="s">
        <v>986</v>
      </c>
    </row>
    <row r="2" customFormat="false" ht="15" hidden="false" customHeight="false" outlineLevel="0" collapsed="false">
      <c r="A2" s="8" t="s">
        <v>987</v>
      </c>
      <c r="B2" s="9" t="n">
        <v>52</v>
      </c>
      <c r="C2" s="10" t="s">
        <v>988</v>
      </c>
    </row>
    <row r="4" customFormat="false" ht="23.85" hidden="false" customHeight="false" outlineLevel="0" collapsed="false">
      <c r="A4" s="11" t="s">
        <v>67</v>
      </c>
      <c r="B4" s="11" t="s">
        <v>989</v>
      </c>
      <c r="C4" s="11" t="s">
        <v>990</v>
      </c>
      <c r="D4" s="11" t="s">
        <v>991</v>
      </c>
      <c r="E4" s="11" t="s">
        <v>992</v>
      </c>
      <c r="F4" s="11" t="s">
        <v>993</v>
      </c>
      <c r="G4" s="11" t="s">
        <v>994</v>
      </c>
      <c r="H4" s="11" t="s">
        <v>995</v>
      </c>
      <c r="I4" s="11" t="s">
        <v>996</v>
      </c>
      <c r="J4" s="11" t="s">
        <v>997</v>
      </c>
      <c r="K4" s="11" t="s">
        <v>998</v>
      </c>
      <c r="L4" s="11" t="s">
        <v>999</v>
      </c>
    </row>
    <row r="5" customFormat="false" ht="15" hidden="false" customHeight="false" outlineLevel="0" collapsed="false">
      <c r="A5" s="12" t="s">
        <v>78</v>
      </c>
      <c r="B5" s="13" t="n">
        <f aca="false">SUMIFS('Task 8 tuần'!$F$2:$F$217,'Task 8 tuần'!$C$2:$C$217,$A5,'Task 8 tuần'!$B$2:$B$217,1)</f>
        <v>52</v>
      </c>
      <c r="C5" s="13" t="n">
        <f aca="false">SUMIFS('Task 8 tuần'!$F$2:$F$217,'Task 8 tuần'!$C$2:$C$217,$A5,'Task 8 tuần'!$B$2:$B$217,2)</f>
        <v>52</v>
      </c>
      <c r="D5" s="13" t="n">
        <f aca="false">SUMIFS('Task 8 tuần'!$F$2:$F$217,'Task 8 tuần'!$C$2:$C$217,$A5,'Task 8 tuần'!$B$2:$B$217,3)</f>
        <v>52</v>
      </c>
      <c r="E5" s="13" t="n">
        <f aca="false">SUMIFS('Task 8 tuần'!$F$2:$F$217,'Task 8 tuần'!$C$2:$C$217,$A5,'Task 8 tuần'!$B$2:$B$217,4)</f>
        <v>52</v>
      </c>
      <c r="F5" s="13" t="n">
        <f aca="false">SUMIFS('Task 8 tuần'!$F$2:$F$217,'Task 8 tuần'!$C$2:$C$217,$A5,'Task 8 tuần'!$B$2:$B$217,5)</f>
        <v>52</v>
      </c>
      <c r="G5" s="13" t="n">
        <f aca="false">SUMIFS('Task 8 tuần'!$F$2:$F$217,'Task 8 tuần'!$C$2:$C$217,$A5,'Task 8 tuần'!$B$2:$B$217,6)</f>
        <v>52</v>
      </c>
      <c r="H5" s="13" t="n">
        <f aca="false">SUMIFS('Task 8 tuần'!$F$2:$F$217,'Task 8 tuần'!$C$2:$C$217,$A5,'Task 8 tuần'!$B$2:$B$217,7)</f>
        <v>52</v>
      </c>
      <c r="I5" s="13" t="n">
        <f aca="false">SUMIFS('Task 8 tuần'!$F$2:$F$217,'Task 8 tuần'!$C$2:$C$217,$A5,'Task 8 tuần'!$B$2:$B$217,8)</f>
        <v>52</v>
      </c>
      <c r="J5" s="13" t="n">
        <f aca="false">SUM(B5:I5)</f>
        <v>416</v>
      </c>
      <c r="K5" s="13" t="str">
        <f aca="false">IF(J5&gt;=400,"Đạt","Thiếu")</f>
        <v>Đạt</v>
      </c>
      <c r="L5" s="13" t="str">
        <f aca="false">IF(COUNTIF(B5:I5,$B$2)=8,"Đúng","Lệch")</f>
        <v>Đúng</v>
      </c>
    </row>
    <row r="6" customFormat="false" ht="15" hidden="false" customHeight="false" outlineLevel="0" collapsed="false">
      <c r="A6" s="12" t="s">
        <v>109</v>
      </c>
      <c r="B6" s="13" t="n">
        <f aca="false">SUMIFS('Task 8 tuần'!$F$2:$F$217,'Task 8 tuần'!$C$2:$C$217,$A6,'Task 8 tuần'!$B$2:$B$217,1)</f>
        <v>52</v>
      </c>
      <c r="C6" s="13" t="n">
        <f aca="false">SUMIFS('Task 8 tuần'!$F$2:$F$217,'Task 8 tuần'!$C$2:$C$217,$A6,'Task 8 tuần'!$B$2:$B$217,2)</f>
        <v>52</v>
      </c>
      <c r="D6" s="13" t="n">
        <f aca="false">SUMIFS('Task 8 tuần'!$F$2:$F$217,'Task 8 tuần'!$C$2:$C$217,$A6,'Task 8 tuần'!$B$2:$B$217,3)</f>
        <v>52</v>
      </c>
      <c r="E6" s="13" t="n">
        <f aca="false">SUMIFS('Task 8 tuần'!$F$2:$F$217,'Task 8 tuần'!$C$2:$C$217,$A6,'Task 8 tuần'!$B$2:$B$217,4)</f>
        <v>52</v>
      </c>
      <c r="F6" s="13" t="n">
        <f aca="false">SUMIFS('Task 8 tuần'!$F$2:$F$217,'Task 8 tuần'!$C$2:$C$217,$A6,'Task 8 tuần'!$B$2:$B$217,5)</f>
        <v>52</v>
      </c>
      <c r="G6" s="13" t="n">
        <f aca="false">SUMIFS('Task 8 tuần'!$F$2:$F$217,'Task 8 tuần'!$C$2:$C$217,$A6,'Task 8 tuần'!$B$2:$B$217,6)</f>
        <v>52</v>
      </c>
      <c r="H6" s="13" t="n">
        <f aca="false">SUMIFS('Task 8 tuần'!$F$2:$F$217,'Task 8 tuần'!$C$2:$C$217,$A6,'Task 8 tuần'!$B$2:$B$217,7)</f>
        <v>52</v>
      </c>
      <c r="I6" s="13" t="n">
        <f aca="false">SUMIFS('Task 8 tuần'!$F$2:$F$217,'Task 8 tuần'!$C$2:$C$217,$A6,'Task 8 tuần'!$B$2:$B$217,8)</f>
        <v>52</v>
      </c>
      <c r="J6" s="13" t="n">
        <f aca="false">SUM(B6:I6)</f>
        <v>416</v>
      </c>
      <c r="K6" s="13" t="str">
        <f aca="false">IF(J6&gt;=400,"Đạt","Thiếu")</f>
        <v>Đạt</v>
      </c>
      <c r="L6" s="13" t="str">
        <f aca="false">IF(COUNTIF(B6:I6,$B$2)=8,"Đúng","Lệch")</f>
        <v>Đúng</v>
      </c>
    </row>
    <row r="7" customFormat="false" ht="15" hidden="false" customHeight="false" outlineLevel="0" collapsed="false">
      <c r="A7" s="12" t="s">
        <v>131</v>
      </c>
      <c r="B7" s="13" t="n">
        <f aca="false">SUMIFS('Task 8 tuần'!$F$2:$F$217,'Task 8 tuần'!$C$2:$C$217,$A7,'Task 8 tuần'!$B$2:$B$217,1)</f>
        <v>52</v>
      </c>
      <c r="C7" s="13" t="n">
        <f aca="false">SUMIFS('Task 8 tuần'!$F$2:$F$217,'Task 8 tuần'!$C$2:$C$217,$A7,'Task 8 tuần'!$B$2:$B$217,2)</f>
        <v>52</v>
      </c>
      <c r="D7" s="13" t="n">
        <f aca="false">SUMIFS('Task 8 tuần'!$F$2:$F$217,'Task 8 tuần'!$C$2:$C$217,$A7,'Task 8 tuần'!$B$2:$B$217,3)</f>
        <v>52</v>
      </c>
      <c r="E7" s="13" t="n">
        <f aca="false">SUMIFS('Task 8 tuần'!$F$2:$F$217,'Task 8 tuần'!$C$2:$C$217,$A7,'Task 8 tuần'!$B$2:$B$217,4)</f>
        <v>52</v>
      </c>
      <c r="F7" s="13" t="n">
        <f aca="false">SUMIFS('Task 8 tuần'!$F$2:$F$217,'Task 8 tuần'!$C$2:$C$217,$A7,'Task 8 tuần'!$B$2:$B$217,5)</f>
        <v>52</v>
      </c>
      <c r="G7" s="13" t="n">
        <f aca="false">SUMIFS('Task 8 tuần'!$F$2:$F$217,'Task 8 tuần'!$C$2:$C$217,$A7,'Task 8 tuần'!$B$2:$B$217,6)</f>
        <v>52</v>
      </c>
      <c r="H7" s="13" t="n">
        <f aca="false">SUMIFS('Task 8 tuần'!$F$2:$F$217,'Task 8 tuần'!$C$2:$C$217,$A7,'Task 8 tuần'!$B$2:$B$217,7)</f>
        <v>52</v>
      </c>
      <c r="I7" s="13" t="n">
        <f aca="false">SUMIFS('Task 8 tuần'!$F$2:$F$217,'Task 8 tuần'!$C$2:$C$217,$A7,'Task 8 tuần'!$B$2:$B$217,8)</f>
        <v>52</v>
      </c>
      <c r="J7" s="13" t="n">
        <f aca="false">SUM(B7:I7)</f>
        <v>416</v>
      </c>
      <c r="K7" s="13" t="str">
        <f aca="false">IF(J7&gt;=400,"Đạt","Thiếu")</f>
        <v>Đạt</v>
      </c>
      <c r="L7" s="13" t="str">
        <f aca="false">IF(COUNTIF(B7:I7,$B$2)=8,"Đúng","Lệch")</f>
        <v>Đúng</v>
      </c>
    </row>
    <row r="8" customFormat="false" ht="15" hidden="false" customHeight="false" outlineLevel="0" collapsed="false">
      <c r="A8" s="12" t="s">
        <v>156</v>
      </c>
      <c r="B8" s="13" t="n">
        <f aca="false">SUMIFS('Task 8 tuần'!$F$2:$F$217,'Task 8 tuần'!$C$2:$C$217,$A8,'Task 8 tuần'!$B$2:$B$217,1)</f>
        <v>52</v>
      </c>
      <c r="C8" s="13" t="n">
        <f aca="false">SUMIFS('Task 8 tuần'!$F$2:$F$217,'Task 8 tuần'!$C$2:$C$217,$A8,'Task 8 tuần'!$B$2:$B$217,2)</f>
        <v>52</v>
      </c>
      <c r="D8" s="13" t="n">
        <f aca="false">SUMIFS('Task 8 tuần'!$F$2:$F$217,'Task 8 tuần'!$C$2:$C$217,$A8,'Task 8 tuần'!$B$2:$B$217,3)</f>
        <v>52</v>
      </c>
      <c r="E8" s="13" t="n">
        <f aca="false">SUMIFS('Task 8 tuần'!$F$2:$F$217,'Task 8 tuần'!$C$2:$C$217,$A8,'Task 8 tuần'!$B$2:$B$217,4)</f>
        <v>52</v>
      </c>
      <c r="F8" s="13" t="n">
        <f aca="false">SUMIFS('Task 8 tuần'!$F$2:$F$217,'Task 8 tuần'!$C$2:$C$217,$A8,'Task 8 tuần'!$B$2:$B$217,5)</f>
        <v>52</v>
      </c>
      <c r="G8" s="13" t="n">
        <f aca="false">SUMIFS('Task 8 tuần'!$F$2:$F$217,'Task 8 tuần'!$C$2:$C$217,$A8,'Task 8 tuần'!$B$2:$B$217,6)</f>
        <v>52</v>
      </c>
      <c r="H8" s="13" t="n">
        <f aca="false">SUMIFS('Task 8 tuần'!$F$2:$F$217,'Task 8 tuần'!$C$2:$C$217,$A8,'Task 8 tuần'!$B$2:$B$217,7)</f>
        <v>52</v>
      </c>
      <c r="I8" s="13" t="n">
        <f aca="false">SUMIFS('Task 8 tuần'!$F$2:$F$217,'Task 8 tuần'!$C$2:$C$217,$A8,'Task 8 tuần'!$B$2:$B$217,8)</f>
        <v>52</v>
      </c>
      <c r="J8" s="13" t="n">
        <f aca="false">SUM(B8:I8)</f>
        <v>416</v>
      </c>
      <c r="K8" s="13" t="str">
        <f aca="false">IF(J8&gt;=400,"Đạt","Thiếu")</f>
        <v>Đạt</v>
      </c>
      <c r="L8" s="13" t="str">
        <f aca="false">IF(COUNTIF(B8:I8,$B$2)=8,"Đúng","Lệch")</f>
        <v>Đúng</v>
      </c>
    </row>
    <row r="9" customFormat="false" ht="15" hidden="false" customHeight="false" outlineLevel="0" collapsed="false">
      <c r="A9" s="12" t="s">
        <v>184</v>
      </c>
      <c r="B9" s="13" t="n">
        <f aca="false">SUMIFS('Task 8 tuần'!$F$2:$F$217,'Task 8 tuần'!$C$2:$C$217,$A9,'Task 8 tuần'!$B$2:$B$217,1)</f>
        <v>52</v>
      </c>
      <c r="C9" s="13" t="n">
        <f aca="false">SUMIFS('Task 8 tuần'!$F$2:$F$217,'Task 8 tuần'!$C$2:$C$217,$A9,'Task 8 tuần'!$B$2:$B$217,2)</f>
        <v>52</v>
      </c>
      <c r="D9" s="13" t="n">
        <f aca="false">SUMIFS('Task 8 tuần'!$F$2:$F$217,'Task 8 tuần'!$C$2:$C$217,$A9,'Task 8 tuần'!$B$2:$B$217,3)</f>
        <v>52</v>
      </c>
      <c r="E9" s="13" t="n">
        <f aca="false">SUMIFS('Task 8 tuần'!$F$2:$F$217,'Task 8 tuần'!$C$2:$C$217,$A9,'Task 8 tuần'!$B$2:$B$217,4)</f>
        <v>52</v>
      </c>
      <c r="F9" s="13" t="n">
        <f aca="false">SUMIFS('Task 8 tuần'!$F$2:$F$217,'Task 8 tuần'!$C$2:$C$217,$A9,'Task 8 tuần'!$B$2:$B$217,5)</f>
        <v>52</v>
      </c>
      <c r="G9" s="13" t="n">
        <f aca="false">SUMIFS('Task 8 tuần'!$F$2:$F$217,'Task 8 tuần'!$C$2:$C$217,$A9,'Task 8 tuần'!$B$2:$B$217,6)</f>
        <v>52</v>
      </c>
      <c r="H9" s="13" t="n">
        <f aca="false">SUMIFS('Task 8 tuần'!$F$2:$F$217,'Task 8 tuần'!$C$2:$C$217,$A9,'Task 8 tuần'!$B$2:$B$217,7)</f>
        <v>52</v>
      </c>
      <c r="I9" s="13" t="n">
        <f aca="false">SUMIFS('Task 8 tuần'!$F$2:$F$217,'Task 8 tuần'!$C$2:$C$217,$A9,'Task 8 tuần'!$B$2:$B$217,8)</f>
        <v>52</v>
      </c>
      <c r="J9" s="13" t="n">
        <f aca="false">SUM(B9:I9)</f>
        <v>416</v>
      </c>
      <c r="K9" s="13" t="str">
        <f aca="false">IF(J9&gt;=400,"Đạt","Thiếu")</f>
        <v>Đạt</v>
      </c>
      <c r="L9" s="13" t="str">
        <f aca="false">IF(COUNTIF(B9:I9,$B$2)=8,"Đúng","Lệch")</f>
        <v>Đúng</v>
      </c>
    </row>
    <row r="10" customFormat="false" ht="15" hidden="false" customHeight="false" outlineLevel="0" collapsed="false">
      <c r="A10" s="8" t="s">
        <v>1000</v>
      </c>
      <c r="B10" s="12" t="n">
        <f aca="false">SUM(B5:B9)</f>
        <v>260</v>
      </c>
      <c r="C10" s="12" t="n">
        <f aca="false">SUM(C5:C9)</f>
        <v>260</v>
      </c>
      <c r="D10" s="12" t="n">
        <f aca="false">SUM(D5:D9)</f>
        <v>260</v>
      </c>
      <c r="E10" s="12" t="n">
        <f aca="false">SUM(E5:E9)</f>
        <v>260</v>
      </c>
      <c r="F10" s="12" t="n">
        <f aca="false">SUM(F5:F9)</f>
        <v>260</v>
      </c>
      <c r="G10" s="12" t="n">
        <f aca="false">SUM(G5:G9)</f>
        <v>260</v>
      </c>
      <c r="H10" s="12" t="n">
        <f aca="false">SUM(H5:H9)</f>
        <v>260</v>
      </c>
      <c r="I10" s="12" t="n">
        <f aca="false">SUM(I5:I9)</f>
        <v>260</v>
      </c>
      <c r="J10" s="12" t="n">
        <f aca="false">SUM(J5:J9)</f>
        <v>2080</v>
      </c>
    </row>
    <row r="12" customFormat="false" ht="15" hidden="false" customHeight="false" outlineLevel="0" collapsed="false">
      <c r="A12" s="8" t="s">
        <v>1001</v>
      </c>
      <c r="B12" s="10" t="n">
        <f aca="false">COUNTIF('Task 8 tuần'!$B$2:$B$217,1)</f>
        <v>27</v>
      </c>
      <c r="C12" s="10" t="n">
        <f aca="false">COUNTIF('Task 8 tuần'!$B$2:$B$217,2)</f>
        <v>29</v>
      </c>
      <c r="D12" s="10" t="n">
        <f aca="false">COUNTIF('Task 8 tuần'!$B$2:$B$217,3)</f>
        <v>29</v>
      </c>
      <c r="E12" s="10" t="n">
        <f aca="false">COUNTIF('Task 8 tuần'!$B$2:$B$217,4)</f>
        <v>30</v>
      </c>
      <c r="F12" s="10" t="n">
        <f aca="false">COUNTIF('Task 8 tuần'!$B$2:$B$217,5)</f>
        <v>25</v>
      </c>
      <c r="G12" s="10" t="n">
        <f aca="false">COUNTIF('Task 8 tuần'!$B$2:$B$217,6)</f>
        <v>27</v>
      </c>
      <c r="H12" s="10" t="n">
        <f aca="false">COUNTIF('Task 8 tuần'!$B$2:$B$217,7)</f>
        <v>23</v>
      </c>
      <c r="I12" s="10" t="n">
        <f aca="false">COUNTIF('Task 8 tuần'!$B$2:$B$217,8)</f>
        <v>26</v>
      </c>
      <c r="J12" s="8" t="n">
        <f aca="false">SUM(B12:I12)</f>
        <v>216</v>
      </c>
    </row>
    <row r="13" customFormat="false" ht="15" hidden="false" customHeight="false" outlineLevel="0" collapsed="false">
      <c r="B13" s="10" t="s">
        <v>989</v>
      </c>
      <c r="C13" s="10" t="s">
        <v>990</v>
      </c>
      <c r="D13" s="10" t="s">
        <v>991</v>
      </c>
      <c r="E13" s="10" t="s">
        <v>992</v>
      </c>
      <c r="F13" s="10" t="s">
        <v>993</v>
      </c>
      <c r="G13" s="10" t="s">
        <v>994</v>
      </c>
      <c r="H13" s="10" t="s">
        <v>995</v>
      </c>
      <c r="I13" s="10" t="s">
        <v>996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0"/>
    <col collapsed="false" customWidth="true" hidden="false" outlineLevel="0" max="4" min="4" style="0" width="12"/>
    <col collapsed="false" customWidth="true" hidden="false" outlineLevel="0" max="5" min="5" style="0" width="90"/>
  </cols>
  <sheetData>
    <row r="1" customFormat="false" ht="15" hidden="false" customHeight="false" outlineLevel="0" collapsed="false">
      <c r="A1" s="7" t="s">
        <v>1002</v>
      </c>
    </row>
    <row r="2" customFormat="false" ht="15" hidden="false" customHeight="false" outlineLevel="0" collapsed="false">
      <c r="A2" s="10" t="s">
        <v>1003</v>
      </c>
    </row>
    <row r="4" customFormat="false" ht="15" hidden="false" customHeight="false" outlineLevel="0" collapsed="false">
      <c r="A4" s="14" t="s">
        <v>1004</v>
      </c>
      <c r="B4" s="14" t="s">
        <v>1005</v>
      </c>
      <c r="C4" s="14" t="s">
        <v>1006</v>
      </c>
      <c r="D4" s="14" t="s">
        <v>1007</v>
      </c>
      <c r="E4" s="14" t="s">
        <v>1008</v>
      </c>
    </row>
    <row r="5" customFormat="false" ht="15" hidden="false" customHeight="false" outlineLevel="0" collapsed="false">
      <c r="A5" s="15" t="s">
        <v>234</v>
      </c>
      <c r="B5" s="15" t="s">
        <v>1009</v>
      </c>
      <c r="C5" s="15" t="n">
        <f aca="false">COUNTIF('Task 8 tuần'!$L$2:$L$217,"*,"&amp;A5&amp;",*")</f>
        <v>8</v>
      </c>
      <c r="D5" s="15" t="str">
        <f aca="false">IF(C5&gt;0,"Có","THIẾU")</f>
        <v>Có</v>
      </c>
      <c r="E5" s="15" t="s">
        <v>1010</v>
      </c>
    </row>
    <row r="6" customFormat="false" ht="15" hidden="false" customHeight="false" outlineLevel="0" collapsed="false">
      <c r="A6" s="15" t="s">
        <v>361</v>
      </c>
      <c r="B6" s="15" t="s">
        <v>1009</v>
      </c>
      <c r="C6" s="15" t="n">
        <f aca="false">COUNTIF('Task 8 tuần'!$L$2:$L$217,"*,"&amp;A6&amp;",*")</f>
        <v>6</v>
      </c>
      <c r="D6" s="15" t="str">
        <f aca="false">IF(C6&gt;0,"Có","THIẾU")</f>
        <v>Có</v>
      </c>
      <c r="E6" s="15" t="s">
        <v>1011</v>
      </c>
    </row>
    <row r="7" customFormat="false" ht="15" hidden="false" customHeight="false" outlineLevel="0" collapsed="false">
      <c r="A7" s="15" t="s">
        <v>163</v>
      </c>
      <c r="B7" s="15" t="s">
        <v>1009</v>
      </c>
      <c r="C7" s="15" t="n">
        <f aca="false">COUNTIF('Task 8 tuần'!$L$2:$L$217,"*,"&amp;A7&amp;",*")</f>
        <v>10</v>
      </c>
      <c r="D7" s="15" t="str">
        <f aca="false">IF(C7&gt;0,"Có","THIẾU")</f>
        <v>Có</v>
      </c>
      <c r="E7" s="15" t="s">
        <v>1012</v>
      </c>
    </row>
    <row r="8" customFormat="false" ht="15" hidden="false" customHeight="false" outlineLevel="0" collapsed="false">
      <c r="A8" s="15" t="s">
        <v>1013</v>
      </c>
      <c r="B8" s="15" t="s">
        <v>1009</v>
      </c>
      <c r="C8" s="15" t="n">
        <f aca="false">COUNTIF('Task 8 tuần'!$L$2:$L$217,"*,"&amp;A8&amp;",*")</f>
        <v>6</v>
      </c>
      <c r="D8" s="15" t="str">
        <f aca="false">IF(C8&gt;0,"Có","THIẾU")</f>
        <v>Có</v>
      </c>
      <c r="E8" s="15" t="s">
        <v>1014</v>
      </c>
    </row>
    <row r="9" customFormat="false" ht="15" hidden="false" customHeight="false" outlineLevel="0" collapsed="false">
      <c r="A9" s="15" t="s">
        <v>492</v>
      </c>
      <c r="B9" s="15" t="s">
        <v>1009</v>
      </c>
      <c r="C9" s="15" t="n">
        <f aca="false">COUNTIF('Task 8 tuần'!$L$2:$L$217,"*,"&amp;A9&amp;",*")</f>
        <v>7</v>
      </c>
      <c r="D9" s="15" t="str">
        <f aca="false">IF(C9&gt;0,"Có","THIẾU")</f>
        <v>Có</v>
      </c>
      <c r="E9" s="15" t="s">
        <v>1015</v>
      </c>
    </row>
    <row r="10" customFormat="false" ht="15" hidden="false" customHeight="false" outlineLevel="0" collapsed="false">
      <c r="A10" s="15" t="s">
        <v>436</v>
      </c>
      <c r="B10" s="15" t="s">
        <v>1009</v>
      </c>
      <c r="C10" s="15" t="n">
        <f aca="false">COUNTIF('Task 8 tuần'!$L$2:$L$217,"*,"&amp;A10&amp;",*")</f>
        <v>7</v>
      </c>
      <c r="D10" s="15" t="str">
        <f aca="false">IF(C10&gt;0,"Có","THIẾU")</f>
        <v>Có</v>
      </c>
      <c r="E10" s="15" t="s">
        <v>1016</v>
      </c>
    </row>
    <row r="11" customFormat="false" ht="15" hidden="false" customHeight="false" outlineLevel="0" collapsed="false">
      <c r="A11" s="15" t="s">
        <v>572</v>
      </c>
      <c r="B11" s="15" t="s">
        <v>1009</v>
      </c>
      <c r="C11" s="15" t="n">
        <f aca="false">COUNTIF('Task 8 tuần'!$L$2:$L$217,"*,"&amp;A11&amp;",*")</f>
        <v>6</v>
      </c>
      <c r="D11" s="15" t="str">
        <f aca="false">IF(C11&gt;0,"Có","THIẾU")</f>
        <v>Có</v>
      </c>
      <c r="E11" s="15" t="s">
        <v>1017</v>
      </c>
    </row>
    <row r="12" customFormat="false" ht="15" hidden="false" customHeight="false" outlineLevel="0" collapsed="false">
      <c r="A12" s="15" t="s">
        <v>257</v>
      </c>
      <c r="B12" s="15" t="s">
        <v>1009</v>
      </c>
      <c r="C12" s="15" t="n">
        <f aca="false">COUNTIF('Task 8 tuần'!$L$2:$L$217,"*,"&amp;A12&amp;",*")</f>
        <v>6</v>
      </c>
      <c r="D12" s="15" t="str">
        <f aca="false">IF(C12&gt;0,"Có","THIẾU")</f>
        <v>Có</v>
      </c>
      <c r="E12" s="15" t="s">
        <v>1018</v>
      </c>
    </row>
    <row r="13" customFormat="false" ht="15" hidden="false" customHeight="false" outlineLevel="0" collapsed="false">
      <c r="A13" s="15" t="s">
        <v>447</v>
      </c>
      <c r="B13" s="15" t="s">
        <v>1009</v>
      </c>
      <c r="C13" s="15" t="n">
        <f aca="false">COUNTIF('Task 8 tuần'!$L$2:$L$217,"*,"&amp;A13&amp;",*")</f>
        <v>9</v>
      </c>
      <c r="D13" s="15" t="str">
        <f aca="false">IF(C13&gt;0,"Có","THIẾU")</f>
        <v>Có</v>
      </c>
      <c r="E13" s="15" t="s">
        <v>1019</v>
      </c>
    </row>
    <row r="14" customFormat="false" ht="15" hidden="false" customHeight="false" outlineLevel="0" collapsed="false">
      <c r="A14" s="15" t="s">
        <v>1020</v>
      </c>
      <c r="B14" s="15" t="s">
        <v>1009</v>
      </c>
      <c r="C14" s="15" t="n">
        <f aca="false">COUNTIF('Task 8 tuần'!$L$2:$L$217,"*,"&amp;A14&amp;",*")</f>
        <v>6</v>
      </c>
      <c r="D14" s="15" t="str">
        <f aca="false">IF(C14&gt;0,"Có","THIẾU")</f>
        <v>Có</v>
      </c>
      <c r="E14" s="15" t="s">
        <v>1021</v>
      </c>
    </row>
    <row r="15" customFormat="false" ht="15" hidden="false" customHeight="false" outlineLevel="0" collapsed="false">
      <c r="A15" s="15" t="s">
        <v>373</v>
      </c>
      <c r="B15" s="15" t="s">
        <v>1009</v>
      </c>
      <c r="C15" s="15" t="n">
        <f aca="false">COUNTIF('Task 8 tuần'!$L$2:$L$217,"*,"&amp;A15&amp;",*")</f>
        <v>10</v>
      </c>
      <c r="D15" s="15" t="str">
        <f aca="false">IF(C15&gt;0,"Có","THIẾU")</f>
        <v>Có</v>
      </c>
      <c r="E15" s="15" t="s">
        <v>1022</v>
      </c>
    </row>
    <row r="16" customFormat="false" ht="15" hidden="false" customHeight="false" outlineLevel="0" collapsed="false">
      <c r="A16" s="15" t="s">
        <v>390</v>
      </c>
      <c r="B16" s="15" t="s">
        <v>1009</v>
      </c>
      <c r="C16" s="15" t="n">
        <f aca="false">COUNTIF('Task 8 tuần'!$L$2:$L$217,"*,"&amp;A16&amp;",*")</f>
        <v>8</v>
      </c>
      <c r="D16" s="15" t="str">
        <f aca="false">IF(C16&gt;0,"Có","THIẾU")</f>
        <v>Có</v>
      </c>
      <c r="E16" s="15" t="s">
        <v>1023</v>
      </c>
    </row>
    <row r="17" customFormat="false" ht="15" hidden="false" customHeight="false" outlineLevel="0" collapsed="false">
      <c r="A17" s="15" t="s">
        <v>274</v>
      </c>
      <c r="B17" s="15" t="s">
        <v>1009</v>
      </c>
      <c r="C17" s="15" t="n">
        <f aca="false">COUNTIF('Task 8 tuần'!$L$2:$L$217,"*,"&amp;A17&amp;",*")</f>
        <v>7</v>
      </c>
      <c r="D17" s="15" t="str">
        <f aca="false">IF(C17&gt;0,"Có","THIẾU")</f>
        <v>Có</v>
      </c>
      <c r="E17" s="15" t="s">
        <v>1024</v>
      </c>
    </row>
    <row r="18" customFormat="false" ht="15" hidden="false" customHeight="false" outlineLevel="0" collapsed="false">
      <c r="A18" s="15" t="s">
        <v>1025</v>
      </c>
      <c r="B18" s="15" t="s">
        <v>1009</v>
      </c>
      <c r="C18" s="15" t="n">
        <f aca="false">COUNTIF('Task 8 tuần'!$L$2:$L$217,"*,"&amp;A18&amp;",*")</f>
        <v>6</v>
      </c>
      <c r="D18" s="15" t="str">
        <f aca="false">IF(C18&gt;0,"Có","THIẾU")</f>
        <v>Có</v>
      </c>
      <c r="E18" s="15" t="s">
        <v>1026</v>
      </c>
    </row>
    <row r="19" customFormat="false" ht="15" hidden="false" customHeight="false" outlineLevel="0" collapsed="false">
      <c r="A19" s="15" t="s">
        <v>1027</v>
      </c>
      <c r="B19" s="15" t="s">
        <v>1009</v>
      </c>
      <c r="C19" s="15" t="n">
        <f aca="false">COUNTIF('Task 8 tuần'!$L$2:$L$217,"*,"&amp;A19&amp;",*")</f>
        <v>6</v>
      </c>
      <c r="D19" s="15" t="str">
        <f aca="false">IF(C19&gt;0,"Có","THIẾU")</f>
        <v>Có</v>
      </c>
      <c r="E19" s="15" t="s">
        <v>1026</v>
      </c>
    </row>
    <row r="20" customFormat="false" ht="15" hidden="false" customHeight="false" outlineLevel="0" collapsed="false">
      <c r="A20" s="15" t="s">
        <v>1028</v>
      </c>
      <c r="B20" s="15" t="s">
        <v>1009</v>
      </c>
      <c r="C20" s="15" t="n">
        <f aca="false">COUNTIF('Task 8 tuần'!$L$2:$L$217,"*,"&amp;A20&amp;",*")</f>
        <v>6</v>
      </c>
      <c r="D20" s="15" t="str">
        <f aca="false">IF(C20&gt;0,"Có","THIẾU")</f>
        <v>Có</v>
      </c>
      <c r="E20" s="15" t="s">
        <v>1026</v>
      </c>
    </row>
    <row r="21" customFormat="false" ht="15" hidden="false" customHeight="false" outlineLevel="0" collapsed="false">
      <c r="A21" s="15" t="s">
        <v>1029</v>
      </c>
      <c r="B21" s="15" t="s">
        <v>1009</v>
      </c>
      <c r="C21" s="15" t="n">
        <f aca="false">COUNTIF('Task 8 tuần'!$L$2:$L$217,"*,"&amp;A21&amp;",*")</f>
        <v>6</v>
      </c>
      <c r="D21" s="15" t="str">
        <f aca="false">IF(C21&gt;0,"Có","THIẾU")</f>
        <v>Có</v>
      </c>
      <c r="E21" s="15" t="s">
        <v>1030</v>
      </c>
    </row>
    <row r="22" customFormat="false" ht="15" hidden="false" customHeight="false" outlineLevel="0" collapsed="false">
      <c r="A22" s="15" t="s">
        <v>1031</v>
      </c>
      <c r="B22" s="15" t="s">
        <v>1009</v>
      </c>
      <c r="C22" s="15" t="n">
        <f aca="false">COUNTIF('Task 8 tuần'!$L$2:$L$217,"*,"&amp;A22&amp;",*")</f>
        <v>6</v>
      </c>
      <c r="D22" s="15" t="str">
        <f aca="false">IF(C22&gt;0,"Có","THIẾU")</f>
        <v>Có</v>
      </c>
      <c r="E22" s="15" t="s">
        <v>1032</v>
      </c>
    </row>
    <row r="23" customFormat="false" ht="15" hidden="false" customHeight="false" outlineLevel="0" collapsed="false">
      <c r="A23" s="15" t="s">
        <v>533</v>
      </c>
      <c r="B23" s="15" t="s">
        <v>1009</v>
      </c>
      <c r="C23" s="15" t="n">
        <f aca="false">COUNTIF('Task 8 tuần'!$L$2:$L$217,"*,"&amp;A23&amp;",*")</f>
        <v>8</v>
      </c>
      <c r="D23" s="15" t="str">
        <f aca="false">IF(C23&gt;0,"Có","THIẾU")</f>
        <v>Có</v>
      </c>
      <c r="E23" s="15" t="s">
        <v>1033</v>
      </c>
    </row>
    <row r="24" customFormat="false" ht="15" hidden="false" customHeight="false" outlineLevel="0" collapsed="false">
      <c r="A24" s="15" t="s">
        <v>1034</v>
      </c>
      <c r="B24" s="15" t="s">
        <v>1009</v>
      </c>
      <c r="C24" s="15" t="n">
        <f aca="false">COUNTIF('Task 8 tuần'!$L$2:$L$217,"*,"&amp;A24&amp;",*")</f>
        <v>6</v>
      </c>
      <c r="D24" s="15" t="str">
        <f aca="false">IF(C24&gt;0,"Có","THIẾU")</f>
        <v>Có</v>
      </c>
      <c r="E24" s="15" t="s">
        <v>1021</v>
      </c>
    </row>
    <row r="25" customFormat="false" ht="15" hidden="false" customHeight="false" outlineLevel="0" collapsed="false">
      <c r="A25" s="15" t="s">
        <v>724</v>
      </c>
      <c r="B25" s="15" t="s">
        <v>1009</v>
      </c>
      <c r="C25" s="15" t="n">
        <f aca="false">COUNTIF('Task 8 tuần'!$L$2:$L$217,"*,"&amp;A25&amp;",*")</f>
        <v>5</v>
      </c>
      <c r="D25" s="15" t="str">
        <f aca="false">IF(C25&gt;0,"Có","THIẾU")</f>
        <v>Có</v>
      </c>
      <c r="E25" s="15" t="s">
        <v>1035</v>
      </c>
    </row>
    <row r="26" customFormat="false" ht="15" hidden="false" customHeight="false" outlineLevel="0" collapsed="false">
      <c r="A26" s="15" t="s">
        <v>264</v>
      </c>
      <c r="B26" s="15" t="s">
        <v>1009</v>
      </c>
      <c r="C26" s="15" t="n">
        <f aca="false">COUNTIF('Task 8 tuần'!$L$2:$L$217,"*,"&amp;A26&amp;",*")</f>
        <v>5</v>
      </c>
      <c r="D26" s="15" t="str">
        <f aca="false">IF(C26&gt;0,"Có","THIẾU")</f>
        <v>Có</v>
      </c>
      <c r="E26" s="15" t="s">
        <v>1036</v>
      </c>
    </row>
    <row r="27" customFormat="false" ht="15" hidden="false" customHeight="false" outlineLevel="0" collapsed="false">
      <c r="A27" s="15" t="s">
        <v>269</v>
      </c>
      <c r="B27" s="15" t="s">
        <v>1009</v>
      </c>
      <c r="C27" s="15" t="n">
        <f aca="false">COUNTIF('Task 8 tuần'!$L$2:$L$217,"*,"&amp;A27&amp;",*")</f>
        <v>5</v>
      </c>
      <c r="D27" s="15" t="str">
        <f aca="false">IF(C27&gt;0,"Có","THIẾU")</f>
        <v>Có</v>
      </c>
      <c r="E27" s="15" t="s">
        <v>1037</v>
      </c>
    </row>
    <row r="28" customFormat="false" ht="15" hidden="false" customHeight="false" outlineLevel="0" collapsed="false">
      <c r="A28" s="15" t="s">
        <v>124</v>
      </c>
      <c r="B28" s="15" t="s">
        <v>1009</v>
      </c>
      <c r="C28" s="15" t="n">
        <f aca="false">COUNTIF('Task 8 tuần'!$L$2:$L$217,"*,"&amp;A28&amp;",*")</f>
        <v>8</v>
      </c>
      <c r="D28" s="15" t="str">
        <f aca="false">IF(C28&gt;0,"Có","THIẾU")</f>
        <v>Có</v>
      </c>
      <c r="E28" s="15" t="s">
        <v>1038</v>
      </c>
    </row>
    <row r="29" customFormat="false" ht="15" hidden="false" customHeight="false" outlineLevel="0" collapsed="false">
      <c r="A29" s="15" t="s">
        <v>1039</v>
      </c>
      <c r="B29" s="15" t="s">
        <v>1009</v>
      </c>
      <c r="C29" s="15" t="n">
        <f aca="false">COUNTIF('Task 8 tuần'!$L$2:$L$217,"*,"&amp;A29&amp;",*")</f>
        <v>5</v>
      </c>
      <c r="D29" s="15" t="str">
        <f aca="false">IF(C29&gt;0,"Có","THIẾU")</f>
        <v>Có</v>
      </c>
      <c r="E29" s="15" t="s">
        <v>1040</v>
      </c>
    </row>
    <row r="30" customFormat="false" ht="15" hidden="false" customHeight="false" outlineLevel="0" collapsed="false">
      <c r="A30" s="15" t="s">
        <v>1041</v>
      </c>
      <c r="B30" s="15" t="s">
        <v>1009</v>
      </c>
      <c r="C30" s="15" t="n">
        <f aca="false">COUNTIF('Task 8 tuần'!$L$2:$L$217,"*,"&amp;A30&amp;",*")</f>
        <v>5</v>
      </c>
      <c r="D30" s="15" t="str">
        <f aca="false">IF(C30&gt;0,"Có","THIẾU")</f>
        <v>Có</v>
      </c>
      <c r="E30" s="15" t="s">
        <v>1042</v>
      </c>
    </row>
    <row r="31" customFormat="false" ht="15" hidden="false" customHeight="false" outlineLevel="0" collapsed="false">
      <c r="A31" s="15" t="s">
        <v>1043</v>
      </c>
      <c r="B31" s="15" t="s">
        <v>1009</v>
      </c>
      <c r="C31" s="15" t="n">
        <f aca="false">COUNTIF('Task 8 tuần'!$L$2:$L$217,"*,"&amp;A31&amp;",*")</f>
        <v>5</v>
      </c>
      <c r="D31" s="15" t="str">
        <f aca="false">IF(C31&gt;0,"Có","THIẾU")</f>
        <v>Có</v>
      </c>
      <c r="E31" s="15" t="s">
        <v>1040</v>
      </c>
    </row>
    <row r="32" customFormat="false" ht="15" hidden="false" customHeight="false" outlineLevel="0" collapsed="false">
      <c r="A32" s="15" t="s">
        <v>1044</v>
      </c>
      <c r="B32" s="15" t="s">
        <v>1009</v>
      </c>
      <c r="C32" s="15" t="n">
        <f aca="false">COUNTIF('Task 8 tuần'!$L$2:$L$217,"*,"&amp;A32&amp;",*")</f>
        <v>6</v>
      </c>
      <c r="D32" s="15" t="str">
        <f aca="false">IF(C32&gt;0,"Có","THIẾU")</f>
        <v>Có</v>
      </c>
      <c r="E32" s="15" t="s">
        <v>1045</v>
      </c>
    </row>
    <row r="33" customFormat="false" ht="15" hidden="false" customHeight="false" outlineLevel="0" collapsed="false">
      <c r="A33" s="15" t="s">
        <v>625</v>
      </c>
      <c r="B33" s="15" t="s">
        <v>1009</v>
      </c>
      <c r="C33" s="15" t="n">
        <f aca="false">COUNTIF('Task 8 tuần'!$L$2:$L$217,"*,"&amp;A33&amp;",*")</f>
        <v>5</v>
      </c>
      <c r="D33" s="15" t="str">
        <f aca="false">IF(C33&gt;0,"Có","THIẾU")</f>
        <v>Có</v>
      </c>
      <c r="E33" s="15" t="s">
        <v>1046</v>
      </c>
    </row>
    <row r="34" customFormat="false" ht="15" hidden="false" customHeight="false" outlineLevel="0" collapsed="false">
      <c r="A34" s="15" t="s">
        <v>133</v>
      </c>
      <c r="B34" s="15" t="s">
        <v>1009</v>
      </c>
      <c r="C34" s="15" t="n">
        <f aca="false">COUNTIF('Task 8 tuần'!$L$2:$L$217,"*,"&amp;A34&amp;",*")</f>
        <v>5</v>
      </c>
      <c r="D34" s="15" t="str">
        <f aca="false">IF(C34&gt;0,"Có","THIẾU")</f>
        <v>Có</v>
      </c>
      <c r="E34" s="15" t="s">
        <v>1047</v>
      </c>
    </row>
    <row r="35" customFormat="false" ht="15" hidden="false" customHeight="false" outlineLevel="0" collapsed="false">
      <c r="A35" s="15" t="s">
        <v>1048</v>
      </c>
      <c r="B35" s="15" t="s">
        <v>1009</v>
      </c>
      <c r="C35" s="15" t="n">
        <f aca="false">COUNTIF('Task 8 tuần'!$L$2:$L$217,"*,"&amp;A35&amp;",*")</f>
        <v>4</v>
      </c>
      <c r="D35" s="15" t="str">
        <f aca="false">IF(C35&gt;0,"Có","THIẾU")</f>
        <v>Có</v>
      </c>
      <c r="E35" s="15" t="s">
        <v>1049</v>
      </c>
    </row>
    <row r="36" customFormat="false" ht="15" hidden="false" customHeight="false" outlineLevel="0" collapsed="false">
      <c r="A36" s="15" t="s">
        <v>1050</v>
      </c>
      <c r="B36" s="15" t="s">
        <v>1009</v>
      </c>
      <c r="C36" s="15" t="n">
        <f aca="false">COUNTIF('Task 8 tuần'!$L$2:$L$217,"*,"&amp;A36&amp;",*")</f>
        <v>5</v>
      </c>
      <c r="D36" s="15" t="str">
        <f aca="false">IF(C36&gt;0,"Có","THIẾU")</f>
        <v>Có</v>
      </c>
      <c r="E36" s="15" t="s">
        <v>1051</v>
      </c>
    </row>
    <row r="37" customFormat="false" ht="15" hidden="false" customHeight="false" outlineLevel="0" collapsed="false">
      <c r="A37" s="15" t="s">
        <v>790</v>
      </c>
      <c r="B37" s="15" t="s">
        <v>1009</v>
      </c>
      <c r="C37" s="15" t="n">
        <f aca="false">COUNTIF('Task 8 tuần'!$L$2:$L$217,"*,"&amp;A37&amp;",*")</f>
        <v>6</v>
      </c>
      <c r="D37" s="15" t="str">
        <f aca="false">IF(C37&gt;0,"Có","THIẾU")</f>
        <v>Có</v>
      </c>
      <c r="E37" s="15" t="s">
        <v>1052</v>
      </c>
    </row>
    <row r="38" customFormat="false" ht="15" hidden="false" customHeight="false" outlineLevel="0" collapsed="false">
      <c r="A38" s="15" t="s">
        <v>741</v>
      </c>
      <c r="B38" s="15" t="s">
        <v>1009</v>
      </c>
      <c r="C38" s="15" t="n">
        <f aca="false">COUNTIF('Task 8 tuần'!$L$2:$L$217,"*,"&amp;A38&amp;",*")</f>
        <v>5</v>
      </c>
      <c r="D38" s="15" t="str">
        <f aca="false">IF(C38&gt;0,"Có","THIẾU")</f>
        <v>Có</v>
      </c>
      <c r="E38" s="15" t="s">
        <v>1053</v>
      </c>
    </row>
    <row r="39" customFormat="false" ht="15" hidden="false" customHeight="false" outlineLevel="0" collapsed="false">
      <c r="A39" s="15" t="s">
        <v>1054</v>
      </c>
      <c r="B39" s="15" t="s">
        <v>1009</v>
      </c>
      <c r="C39" s="15" t="n">
        <f aca="false">COUNTIF('Task 8 tuần'!$L$2:$L$217,"*,"&amp;A39&amp;",*")</f>
        <v>6</v>
      </c>
      <c r="D39" s="15" t="str">
        <f aca="false">IF(C39&gt;0,"Có","THIẾU")</f>
        <v>Có</v>
      </c>
      <c r="E39" s="15" t="s">
        <v>1055</v>
      </c>
    </row>
    <row r="40" customFormat="false" ht="15" hidden="false" customHeight="false" outlineLevel="0" collapsed="false">
      <c r="A40" s="15" t="s">
        <v>1056</v>
      </c>
      <c r="B40" s="15" t="s">
        <v>1009</v>
      </c>
      <c r="C40" s="15" t="n">
        <f aca="false">COUNTIF('Task 8 tuần'!$L$2:$L$217,"*,"&amp;A40&amp;",*")</f>
        <v>6</v>
      </c>
      <c r="D40" s="15" t="str">
        <f aca="false">IF(C40&gt;0,"Có","THIẾU")</f>
        <v>Có</v>
      </c>
      <c r="E40" s="15" t="s">
        <v>1055</v>
      </c>
    </row>
    <row r="41" customFormat="false" ht="15" hidden="false" customHeight="false" outlineLevel="0" collapsed="false">
      <c r="A41" s="15" t="s">
        <v>804</v>
      </c>
      <c r="B41" s="15" t="s">
        <v>1009</v>
      </c>
      <c r="C41" s="15" t="n">
        <f aca="false">COUNTIF('Task 8 tuần'!$L$2:$L$217,"*,"&amp;A41&amp;",*")</f>
        <v>6</v>
      </c>
      <c r="D41" s="15" t="str">
        <f aca="false">IF(C41&gt;0,"Có","THIẾU")</f>
        <v>Có</v>
      </c>
      <c r="E41" s="15" t="s">
        <v>1057</v>
      </c>
    </row>
    <row r="42" customFormat="false" ht="15" hidden="false" customHeight="false" outlineLevel="0" collapsed="false">
      <c r="A42" s="15" t="s">
        <v>1058</v>
      </c>
      <c r="B42" s="15" t="s">
        <v>1009</v>
      </c>
      <c r="C42" s="15" t="n">
        <f aca="false">COUNTIF('Task 8 tuần'!$L$2:$L$217,"*,"&amp;A42&amp;",*")</f>
        <v>4</v>
      </c>
      <c r="D42" s="15" t="str">
        <f aca="false">IF(C42&gt;0,"Có","THIẾU")</f>
        <v>Có</v>
      </c>
      <c r="E42" s="15" t="s">
        <v>1049</v>
      </c>
    </row>
    <row r="43" customFormat="false" ht="15" hidden="false" customHeight="false" outlineLevel="0" collapsed="false">
      <c r="A43" s="15" t="s">
        <v>514</v>
      </c>
      <c r="B43" s="15" t="s">
        <v>1009</v>
      </c>
      <c r="C43" s="15" t="n">
        <f aca="false">COUNTIF('Task 8 tuần'!$L$2:$L$217,"*,"&amp;A43&amp;",*")</f>
        <v>6</v>
      </c>
      <c r="D43" s="15" t="str">
        <f aca="false">IF(C43&gt;0,"Có","THIẾU")</f>
        <v>Có</v>
      </c>
      <c r="E43" s="15" t="s">
        <v>1059</v>
      </c>
    </row>
    <row r="44" customFormat="false" ht="15" hidden="false" customHeight="false" outlineLevel="0" collapsed="false">
      <c r="A44" s="15" t="s">
        <v>180</v>
      </c>
      <c r="B44" s="15" t="s">
        <v>1060</v>
      </c>
      <c r="C44" s="15" t="n">
        <f aca="false">COUNTIF('Task 8 tuần'!$L$2:$L$217,"*,"&amp;A44&amp;",*")</f>
        <v>6</v>
      </c>
      <c r="D44" s="15" t="str">
        <f aca="false">IF(C44&gt;0,"Có","THIẾU")</f>
        <v>Có</v>
      </c>
      <c r="E44" s="15" t="s">
        <v>1061</v>
      </c>
    </row>
    <row r="45" customFormat="false" ht="15" hidden="false" customHeight="false" outlineLevel="0" collapsed="false">
      <c r="A45" s="15" t="s">
        <v>538</v>
      </c>
      <c r="B45" s="15" t="s">
        <v>1060</v>
      </c>
      <c r="C45" s="15" t="n">
        <f aca="false">COUNTIF('Task 8 tuần'!$L$2:$L$217,"*,"&amp;A45&amp;",*")</f>
        <v>8</v>
      </c>
      <c r="D45" s="15" t="str">
        <f aca="false">IF(C45&gt;0,"Có","THIẾU")</f>
        <v>Có</v>
      </c>
      <c r="E45" s="15" t="s">
        <v>1062</v>
      </c>
    </row>
    <row r="46" customFormat="false" ht="15" hidden="false" customHeight="false" outlineLevel="0" collapsed="false">
      <c r="A46" s="15" t="s">
        <v>902</v>
      </c>
      <c r="B46" s="15" t="s">
        <v>1060</v>
      </c>
      <c r="C46" s="15" t="n">
        <f aca="false">COUNTIF('Task 8 tuần'!$L$2:$L$217,"*,"&amp;A46&amp;",*")</f>
        <v>3</v>
      </c>
      <c r="D46" s="15" t="str">
        <f aca="false">IF(C46&gt;0,"Có","THIẾU")</f>
        <v>Có</v>
      </c>
      <c r="E46" s="15" t="s">
        <v>1063</v>
      </c>
    </row>
    <row r="47" customFormat="false" ht="15" hidden="false" customHeight="false" outlineLevel="0" collapsed="false">
      <c r="A47" s="15" t="s">
        <v>605</v>
      </c>
      <c r="B47" s="15" t="s">
        <v>1060</v>
      </c>
      <c r="C47" s="15" t="n">
        <f aca="false">COUNTIF('Task 8 tuần'!$L$2:$L$217,"*,"&amp;A47&amp;",*")</f>
        <v>4</v>
      </c>
      <c r="D47" s="15" t="str">
        <f aca="false">IF(C47&gt;0,"Có","THIẾU")</f>
        <v>Có</v>
      </c>
      <c r="E47" s="15" t="s">
        <v>1064</v>
      </c>
    </row>
    <row r="48" customFormat="false" ht="15" hidden="false" customHeight="false" outlineLevel="0" collapsed="false">
      <c r="A48" s="15" t="s">
        <v>348</v>
      </c>
      <c r="B48" s="15" t="s">
        <v>1060</v>
      </c>
      <c r="C48" s="15" t="n">
        <f aca="false">COUNTIF('Task 8 tuần'!$L$2:$L$217,"*,"&amp;A48&amp;",*")</f>
        <v>6</v>
      </c>
      <c r="D48" s="15" t="str">
        <f aca="false">IF(C48&gt;0,"Có","THIẾU")</f>
        <v>Có</v>
      </c>
      <c r="E48" s="15" t="s">
        <v>1065</v>
      </c>
    </row>
    <row r="49" customFormat="false" ht="15" hidden="false" customHeight="false" outlineLevel="0" collapsed="false">
      <c r="A49" s="15" t="s">
        <v>610</v>
      </c>
      <c r="B49" s="15" t="s">
        <v>1060</v>
      </c>
      <c r="C49" s="15" t="n">
        <f aca="false">COUNTIF('Task 8 tuần'!$L$2:$L$217,"*,"&amp;A49&amp;",*")</f>
        <v>3</v>
      </c>
      <c r="D49" s="15" t="str">
        <f aca="false">IF(C49&gt;0,"Có","THIẾU")</f>
        <v>Có</v>
      </c>
      <c r="E49" s="15" t="s">
        <v>1066</v>
      </c>
    </row>
    <row r="50" customFormat="false" ht="15" hidden="false" customHeight="false" outlineLevel="0" collapsed="false">
      <c r="A50" s="15" t="s">
        <v>102</v>
      </c>
      <c r="B50" s="15" t="s">
        <v>1060</v>
      </c>
      <c r="C50" s="15" t="n">
        <f aca="false">COUNTIF('Task 8 tuần'!$L$2:$L$217,"*,"&amp;A50&amp;",*")</f>
        <v>5</v>
      </c>
      <c r="D50" s="15" t="str">
        <f aca="false">IF(C50&gt;0,"Có","THIẾU")</f>
        <v>Có</v>
      </c>
      <c r="E50" s="15" t="s">
        <v>1067</v>
      </c>
    </row>
    <row r="51" customFormat="false" ht="15" hidden="false" customHeight="false" outlineLevel="0" collapsed="false">
      <c r="A51" s="15" t="s">
        <v>1068</v>
      </c>
      <c r="B51" s="15" t="s">
        <v>1060</v>
      </c>
      <c r="C51" s="15" t="n">
        <f aca="false">COUNTIF('Task 8 tuần'!$L$2:$L$217,"*,"&amp;A51&amp;",*")</f>
        <v>2</v>
      </c>
      <c r="D51" s="15" t="str">
        <f aca="false">IF(C51&gt;0,"Có","THIẾU")</f>
        <v>Có</v>
      </c>
      <c r="E51" s="15" t="s">
        <v>1069</v>
      </c>
    </row>
    <row r="52" customFormat="false" ht="15" hidden="false" customHeight="false" outlineLevel="0" collapsed="false">
      <c r="A52" s="15" t="s">
        <v>226</v>
      </c>
      <c r="B52" s="15" t="s">
        <v>1060</v>
      </c>
      <c r="C52" s="15" t="n">
        <f aca="false">COUNTIF('Task 8 tuần'!$L$2:$L$217,"*,"&amp;A52&amp;",*")</f>
        <v>6</v>
      </c>
      <c r="D52" s="15" t="str">
        <f aca="false">IF(C52&gt;0,"Có","THIẾU")</f>
        <v>Có</v>
      </c>
      <c r="E52" s="15" t="s">
        <v>1070</v>
      </c>
    </row>
    <row r="53" customFormat="false" ht="15" hidden="false" customHeight="false" outlineLevel="0" collapsed="false">
      <c r="A53" s="15" t="s">
        <v>1071</v>
      </c>
      <c r="B53" s="15" t="s">
        <v>1060</v>
      </c>
      <c r="C53" s="15" t="n">
        <f aca="false">COUNTIF('Task 8 tuần'!$L$2:$L$217,"*,"&amp;A53&amp;",*")</f>
        <v>3</v>
      </c>
      <c r="D53" s="15" t="str">
        <f aca="false">IF(C53&gt;0,"Có","THIẾU")</f>
        <v>Có</v>
      </c>
      <c r="E53" s="15" t="s">
        <v>1072</v>
      </c>
    </row>
    <row r="54" customFormat="false" ht="15" hidden="false" customHeight="false" outlineLevel="0" collapsed="false">
      <c r="A54" s="15" t="s">
        <v>1073</v>
      </c>
      <c r="B54" s="15" t="s">
        <v>1060</v>
      </c>
      <c r="C54" s="15" t="n">
        <f aca="false">COUNTIF('Task 8 tuần'!$L$2:$L$217,"*,"&amp;A54&amp;",*")</f>
        <v>2</v>
      </c>
      <c r="D54" s="15" t="str">
        <f aca="false">IF(C54&gt;0,"Có","THIẾU")</f>
        <v>Có</v>
      </c>
      <c r="E54" s="15" t="s">
        <v>1074</v>
      </c>
    </row>
    <row r="55" customFormat="false" ht="15" hidden="false" customHeight="false" outlineLevel="0" collapsed="false">
      <c r="A55" s="15" t="s">
        <v>595</v>
      </c>
      <c r="B55" s="15" t="s">
        <v>1060</v>
      </c>
      <c r="C55" s="15" t="n">
        <f aca="false">COUNTIF('Task 8 tuần'!$L$2:$L$217,"*,"&amp;A55&amp;",*")</f>
        <v>7</v>
      </c>
      <c r="D55" s="15" t="str">
        <f aca="false">IF(C55&gt;0,"Có","THIẾU")</f>
        <v>Có</v>
      </c>
      <c r="E55" s="15" t="s">
        <v>1075</v>
      </c>
    </row>
    <row r="56" customFormat="false" ht="15" hidden="false" customHeight="false" outlineLevel="0" collapsed="false">
      <c r="A56" s="15" t="s">
        <v>187</v>
      </c>
      <c r="B56" s="15" t="s">
        <v>1060</v>
      </c>
      <c r="C56" s="15" t="n">
        <f aca="false">COUNTIF('Task 8 tuần'!$L$2:$L$217,"*,"&amp;A56&amp;",*")</f>
        <v>7</v>
      </c>
      <c r="D56" s="15" t="str">
        <f aca="false">IF(C56&gt;0,"Có","THIẾU")</f>
        <v>Có</v>
      </c>
      <c r="E56" s="15" t="s">
        <v>1076</v>
      </c>
    </row>
    <row r="57" customFormat="false" ht="15" hidden="false" customHeight="false" outlineLevel="0" collapsed="false">
      <c r="A57" s="15" t="s">
        <v>812</v>
      </c>
      <c r="B57" s="15" t="s">
        <v>1060</v>
      </c>
      <c r="C57" s="15" t="n">
        <f aca="false">COUNTIF('Task 8 tuần'!$L$2:$L$217,"*,"&amp;A57&amp;",*")</f>
        <v>4</v>
      </c>
      <c r="D57" s="15" t="str">
        <f aca="false">IF(C57&gt;0,"Có","THIẾU")</f>
        <v>Có</v>
      </c>
      <c r="E57" s="15" t="s">
        <v>1077</v>
      </c>
    </row>
    <row r="58" customFormat="false" ht="15" hidden="false" customHeight="false" outlineLevel="0" collapsed="false">
      <c r="A58" s="15" t="s">
        <v>327</v>
      </c>
      <c r="B58" s="15" t="s">
        <v>1060</v>
      </c>
      <c r="C58" s="15" t="n">
        <f aca="false">COUNTIF('Task 8 tuần'!$L$2:$L$217,"*,"&amp;A58&amp;",*")</f>
        <v>4</v>
      </c>
      <c r="D58" s="15" t="str">
        <f aca="false">IF(C58&gt;0,"Có","THIẾU")</f>
        <v>Có</v>
      </c>
      <c r="E58" s="15" t="s">
        <v>1078</v>
      </c>
    </row>
    <row r="59" customFormat="false" ht="15" hidden="false" customHeight="false" outlineLevel="0" collapsed="false">
      <c r="A59" s="15" t="s">
        <v>714</v>
      </c>
      <c r="B59" s="15" t="s">
        <v>1060</v>
      </c>
      <c r="C59" s="15" t="n">
        <f aca="false">COUNTIF('Task 8 tuần'!$L$2:$L$217,"*,"&amp;A59&amp;",*")</f>
        <v>4</v>
      </c>
      <c r="D59" s="15" t="str">
        <f aca="false">IF(C59&gt;0,"Có","THIẾU")</f>
        <v>Có</v>
      </c>
      <c r="E59" s="15" t="s">
        <v>1079</v>
      </c>
    </row>
    <row r="60" customFormat="false" ht="15" hidden="false" customHeight="false" outlineLevel="0" collapsed="false">
      <c r="A60" s="15" t="s">
        <v>88</v>
      </c>
      <c r="B60" s="15" t="s">
        <v>1060</v>
      </c>
      <c r="C60" s="15" t="n">
        <f aca="false">COUNTIF('Task 8 tuần'!$L$2:$L$217,"*,"&amp;A60&amp;",*")</f>
        <v>7</v>
      </c>
      <c r="D60" s="15" t="str">
        <f aca="false">IF(C60&gt;0,"Có","THIẾU")</f>
        <v>Có</v>
      </c>
      <c r="E60" s="15" t="s">
        <v>1080</v>
      </c>
    </row>
    <row r="61" customFormat="false" ht="15" hidden="false" customHeight="false" outlineLevel="0" collapsed="false">
      <c r="A61" s="15" t="s">
        <v>473</v>
      </c>
      <c r="B61" s="15" t="s">
        <v>1060</v>
      </c>
      <c r="C61" s="15" t="n">
        <f aca="false">COUNTIF('Task 8 tuần'!$L$2:$L$217,"*,"&amp;A61&amp;",*")</f>
        <v>4</v>
      </c>
      <c r="D61" s="15" t="str">
        <f aca="false">IF(C61&gt;0,"Có","THIẾU")</f>
        <v>Có</v>
      </c>
      <c r="E61" s="15" t="s">
        <v>1081</v>
      </c>
    </row>
    <row r="62" customFormat="false" ht="15" hidden="false" customHeight="false" outlineLevel="0" collapsed="false">
      <c r="A62" s="15" t="s">
        <v>1082</v>
      </c>
      <c r="B62" s="15" t="s">
        <v>1060</v>
      </c>
      <c r="C62" s="15" t="n">
        <f aca="false">COUNTIF('Task 8 tuần'!$L$2:$L$217,"*,"&amp;A62&amp;",*")</f>
        <v>2</v>
      </c>
      <c r="D62" s="15" t="str">
        <f aca="false">IF(C62&gt;0,"Có","THIẾU")</f>
        <v>Có</v>
      </c>
      <c r="E62" s="15" t="s">
        <v>1083</v>
      </c>
    </row>
    <row r="63" customFormat="false" ht="15" hidden="false" customHeight="false" outlineLevel="0" collapsed="false">
      <c r="A63" s="15" t="s">
        <v>463</v>
      </c>
      <c r="B63" s="15" t="s">
        <v>1060</v>
      </c>
      <c r="C63" s="15" t="n">
        <f aca="false">COUNTIF('Task 8 tuần'!$L$2:$L$217,"*,"&amp;A63&amp;",*")</f>
        <v>3</v>
      </c>
      <c r="D63" s="15" t="str">
        <f aca="false">IF(C63&gt;0,"Có","THIẾU")</f>
        <v>Có</v>
      </c>
      <c r="E63" s="15" t="s">
        <v>1084</v>
      </c>
    </row>
    <row r="64" customFormat="false" ht="15" hidden="false" customHeight="false" outlineLevel="0" collapsed="false">
      <c r="A64" s="15" t="s">
        <v>168</v>
      </c>
      <c r="B64" s="15" t="s">
        <v>1060</v>
      </c>
      <c r="C64" s="15" t="n">
        <f aca="false">COUNTIF('Task 8 tuần'!$L$2:$L$217,"*,"&amp;A64&amp;",*")</f>
        <v>7</v>
      </c>
      <c r="D64" s="15" t="str">
        <f aca="false">IF(C64&gt;0,"Có","THIẾU")</f>
        <v>Có</v>
      </c>
      <c r="E64" s="15" t="s">
        <v>1085</v>
      </c>
    </row>
    <row r="65" customFormat="false" ht="15" hidden="false" customHeight="false" outlineLevel="0" collapsed="false">
      <c r="A65" s="15" t="s">
        <v>421</v>
      </c>
      <c r="B65" s="15" t="s">
        <v>1060</v>
      </c>
      <c r="C65" s="15" t="n">
        <f aca="false">COUNTIF('Task 8 tuần'!$L$2:$L$217,"*,"&amp;A65&amp;",*")</f>
        <v>5</v>
      </c>
      <c r="D65" s="15" t="str">
        <f aca="false">IF(C65&gt;0,"Có","THIẾU")</f>
        <v>Có</v>
      </c>
      <c r="E65" s="15" t="s">
        <v>1086</v>
      </c>
    </row>
    <row r="66" customFormat="false" ht="15" hidden="false" customHeight="false" outlineLevel="0" collapsed="false">
      <c r="A66" s="15" t="s">
        <v>290</v>
      </c>
      <c r="B66" s="15" t="s">
        <v>1060</v>
      </c>
      <c r="C66" s="15" t="n">
        <f aca="false">COUNTIF('Task 8 tuần'!$L$2:$L$217,"*,"&amp;A66&amp;",*")</f>
        <v>6</v>
      </c>
      <c r="D66" s="15" t="str">
        <f aca="false">IF(C66&gt;0,"Có","THIẾU")</f>
        <v>Có</v>
      </c>
      <c r="E66" s="15" t="s">
        <v>1087</v>
      </c>
    </row>
    <row r="68" customFormat="false" ht="15" hidden="false" customHeight="false" outlineLevel="0" collapsed="false">
      <c r="A68" s="8" t="s">
        <v>1088</v>
      </c>
      <c r="C68" s="8" t="n">
        <f aca="false">COUNTIF(D5:D66,"THIẾU")</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0"/>
    <col collapsed="false" customWidth="true" hidden="false" outlineLevel="0" max="3" min="3" style="0" width="16"/>
    <col collapsed="false" customWidth="true" hidden="false" outlineLevel="0" max="4" min="4" style="0" width="24"/>
    <col collapsed="false" customWidth="true" hidden="false" outlineLevel="0" max="5" min="5" style="0" width="14"/>
    <col collapsed="false" customWidth="true" hidden="false" outlineLevel="0" max="7" min="6" style="0" width="8"/>
    <col collapsed="false" customWidth="true" hidden="false" outlineLevel="0" max="8" min="8" style="0" width="34"/>
    <col collapsed="false" customWidth="true" hidden="false" outlineLevel="0" max="9" min="9" style="0" width="60"/>
  </cols>
  <sheetData>
    <row r="1" customFormat="false" ht="15" hidden="false" customHeight="false" outlineLevel="0" collapsed="false">
      <c r="A1" s="14" t="s">
        <v>1089</v>
      </c>
      <c r="B1" s="14" t="s">
        <v>1090</v>
      </c>
      <c r="C1" s="14" t="s">
        <v>1091</v>
      </c>
      <c r="D1" s="14" t="s">
        <v>1092</v>
      </c>
      <c r="E1" s="14" t="s">
        <v>1093</v>
      </c>
      <c r="F1" s="14" t="s">
        <v>75</v>
      </c>
      <c r="G1" s="14" t="s">
        <v>1094</v>
      </c>
      <c r="H1" s="14" t="s">
        <v>74</v>
      </c>
      <c r="I1" s="14" t="s">
        <v>1095</v>
      </c>
    </row>
    <row r="2" customFormat="false" ht="57.45" hidden="false" customHeight="false" outlineLevel="0" collapsed="false">
      <c r="A2" s="15" t="s">
        <v>92</v>
      </c>
      <c r="B2" s="15" t="s">
        <v>1096</v>
      </c>
      <c r="C2" s="15" t="s">
        <v>1097</v>
      </c>
      <c r="D2" s="15" t="s">
        <v>93</v>
      </c>
      <c r="E2" s="15" t="s">
        <v>1098</v>
      </c>
      <c r="F2" s="15" t="s">
        <v>1099</v>
      </c>
      <c r="G2" s="15" t="s">
        <v>78</v>
      </c>
      <c r="H2" s="15" t="s">
        <v>83</v>
      </c>
      <c r="I2" s="15" t="s">
        <v>1100</v>
      </c>
    </row>
    <row r="3" customFormat="false" ht="57.45" hidden="false" customHeight="false" outlineLevel="0" collapsed="false">
      <c r="A3" s="15" t="s">
        <v>96</v>
      </c>
      <c r="B3" s="15" t="s">
        <v>1096</v>
      </c>
      <c r="C3" s="15" t="s">
        <v>1097</v>
      </c>
      <c r="D3" s="15" t="s">
        <v>93</v>
      </c>
      <c r="E3" s="15" t="s">
        <v>1101</v>
      </c>
      <c r="F3" s="15" t="s">
        <v>1099</v>
      </c>
      <c r="G3" s="15" t="s">
        <v>78</v>
      </c>
      <c r="H3" s="15" t="s">
        <v>83</v>
      </c>
      <c r="I3" s="15" t="s">
        <v>1102</v>
      </c>
    </row>
    <row r="4" customFormat="false" ht="68.65" hidden="false" customHeight="false" outlineLevel="0" collapsed="false">
      <c r="A4" s="15" t="s">
        <v>101</v>
      </c>
      <c r="B4" s="15" t="s">
        <v>1096</v>
      </c>
      <c r="C4" s="15" t="s">
        <v>1103</v>
      </c>
      <c r="D4" s="15" t="s">
        <v>80</v>
      </c>
      <c r="E4" s="15" t="s">
        <v>1104</v>
      </c>
      <c r="F4" s="15" t="s">
        <v>1099</v>
      </c>
      <c r="G4" s="15" t="s">
        <v>78</v>
      </c>
      <c r="H4" s="15" t="s">
        <v>83</v>
      </c>
      <c r="I4" s="15" t="s">
        <v>1105</v>
      </c>
    </row>
    <row r="5" customFormat="false" ht="57.45" hidden="false" customHeight="false" outlineLevel="0" collapsed="false">
      <c r="A5" s="15" t="s">
        <v>106</v>
      </c>
      <c r="B5" s="15" t="s">
        <v>1096</v>
      </c>
      <c r="C5" s="15" t="s">
        <v>1103</v>
      </c>
      <c r="D5" s="15" t="s">
        <v>80</v>
      </c>
      <c r="E5" s="15" t="s">
        <v>1106</v>
      </c>
      <c r="F5" s="15" t="s">
        <v>1099</v>
      </c>
      <c r="G5" s="15" t="s">
        <v>78</v>
      </c>
      <c r="H5" s="15" t="s">
        <v>83</v>
      </c>
      <c r="I5" s="15" t="s">
        <v>1107</v>
      </c>
    </row>
    <row r="6" customFormat="false" ht="68.65" hidden="false" customHeight="false" outlineLevel="0" collapsed="false">
      <c r="A6" s="15" t="s">
        <v>110</v>
      </c>
      <c r="B6" s="15" t="s">
        <v>1096</v>
      </c>
      <c r="C6" s="15" t="s">
        <v>1097</v>
      </c>
      <c r="D6" s="15" t="s">
        <v>93</v>
      </c>
      <c r="E6" s="15" t="s">
        <v>1108</v>
      </c>
      <c r="F6" s="15" t="s">
        <v>1099</v>
      </c>
      <c r="G6" s="15" t="s">
        <v>109</v>
      </c>
      <c r="H6" s="15" t="s">
        <v>83</v>
      </c>
      <c r="I6" s="15" t="s">
        <v>1109</v>
      </c>
    </row>
    <row r="7" customFormat="false" ht="57.45" hidden="false" customHeight="false" outlineLevel="0" collapsed="false">
      <c r="A7" s="15" t="s">
        <v>114</v>
      </c>
      <c r="B7" s="15" t="s">
        <v>1096</v>
      </c>
      <c r="C7" s="15" t="s">
        <v>1097</v>
      </c>
      <c r="D7" s="15" t="s">
        <v>93</v>
      </c>
      <c r="E7" s="15" t="s">
        <v>1101</v>
      </c>
      <c r="F7" s="15" t="s">
        <v>1099</v>
      </c>
      <c r="G7" s="15" t="s">
        <v>109</v>
      </c>
      <c r="H7" s="15" t="s">
        <v>83</v>
      </c>
      <c r="I7" s="15" t="s">
        <v>1110</v>
      </c>
    </row>
    <row r="8" customFormat="false" ht="68.65" hidden="false" customHeight="false" outlineLevel="0" collapsed="false">
      <c r="A8" s="15" t="s">
        <v>119</v>
      </c>
      <c r="B8" s="15" t="s">
        <v>1096</v>
      </c>
      <c r="C8" s="15" t="s">
        <v>1097</v>
      </c>
      <c r="D8" s="15" t="s">
        <v>93</v>
      </c>
      <c r="E8" s="15" t="s">
        <v>1104</v>
      </c>
      <c r="F8" s="15" t="s">
        <v>1099</v>
      </c>
      <c r="G8" s="15" t="s">
        <v>109</v>
      </c>
      <c r="H8" s="15" t="s">
        <v>83</v>
      </c>
      <c r="I8" s="15" t="s">
        <v>1111</v>
      </c>
    </row>
    <row r="9" customFormat="false" ht="68.65" hidden="false" customHeight="false" outlineLevel="0" collapsed="false">
      <c r="A9" s="15" t="s">
        <v>122</v>
      </c>
      <c r="B9" s="15" t="s">
        <v>1096</v>
      </c>
      <c r="C9" s="15" t="s">
        <v>1112</v>
      </c>
      <c r="D9" s="15" t="s">
        <v>123</v>
      </c>
      <c r="E9" s="15" t="s">
        <v>1108</v>
      </c>
      <c r="F9" s="15" t="s">
        <v>1099</v>
      </c>
      <c r="G9" s="15" t="s">
        <v>109</v>
      </c>
      <c r="H9" s="15" t="s">
        <v>83</v>
      </c>
      <c r="I9" s="15" t="s">
        <v>1113</v>
      </c>
    </row>
    <row r="10" customFormat="false" ht="57.45" hidden="false" customHeight="false" outlineLevel="0" collapsed="false">
      <c r="A10" s="15" t="s">
        <v>128</v>
      </c>
      <c r="B10" s="15" t="s">
        <v>1096</v>
      </c>
      <c r="C10" s="15" t="s">
        <v>1112</v>
      </c>
      <c r="D10" s="15" t="s">
        <v>123</v>
      </c>
      <c r="E10" s="15" t="s">
        <v>1114</v>
      </c>
      <c r="F10" s="15" t="s">
        <v>1099</v>
      </c>
      <c r="G10" s="15" t="s">
        <v>109</v>
      </c>
      <c r="H10" s="15" t="s">
        <v>83</v>
      </c>
      <c r="I10" s="15" t="s">
        <v>1115</v>
      </c>
    </row>
    <row r="11" customFormat="false" ht="57.45" hidden="false" customHeight="false" outlineLevel="0" collapsed="false">
      <c r="A11" s="15" t="s">
        <v>132</v>
      </c>
      <c r="B11" s="15" t="s">
        <v>1096</v>
      </c>
      <c r="C11" s="15" t="s">
        <v>1097</v>
      </c>
      <c r="D11" s="15" t="s">
        <v>93</v>
      </c>
      <c r="E11" s="15" t="s">
        <v>1104</v>
      </c>
      <c r="F11" s="15" t="s">
        <v>1099</v>
      </c>
      <c r="G11" s="15" t="s">
        <v>131</v>
      </c>
      <c r="H11" s="15" t="s">
        <v>83</v>
      </c>
      <c r="I11" s="15" t="s">
        <v>1116</v>
      </c>
    </row>
    <row r="12" customFormat="false" ht="57.45" hidden="false" customHeight="false" outlineLevel="0" collapsed="false">
      <c r="A12" s="15" t="s">
        <v>138</v>
      </c>
      <c r="B12" s="15" t="s">
        <v>1096</v>
      </c>
      <c r="C12" s="15" t="s">
        <v>1097</v>
      </c>
      <c r="D12" s="15" t="s">
        <v>93</v>
      </c>
      <c r="E12" s="15" t="s">
        <v>1101</v>
      </c>
      <c r="F12" s="15" t="s">
        <v>1099</v>
      </c>
      <c r="G12" s="15" t="s">
        <v>131</v>
      </c>
      <c r="H12" s="15" t="s">
        <v>83</v>
      </c>
      <c r="I12" s="15" t="s">
        <v>1117</v>
      </c>
    </row>
    <row r="13" customFormat="false" ht="57.45" hidden="false" customHeight="false" outlineLevel="0" collapsed="false">
      <c r="A13" s="15" t="s">
        <v>143</v>
      </c>
      <c r="B13" s="15" t="s">
        <v>1096</v>
      </c>
      <c r="C13" s="15" t="s">
        <v>1097</v>
      </c>
      <c r="D13" s="15" t="s">
        <v>93</v>
      </c>
      <c r="E13" s="15" t="s">
        <v>1101</v>
      </c>
      <c r="F13" s="15" t="s">
        <v>1099</v>
      </c>
      <c r="G13" s="15" t="s">
        <v>131</v>
      </c>
      <c r="H13" s="15" t="s">
        <v>83</v>
      </c>
      <c r="I13" s="15" t="s">
        <v>1118</v>
      </c>
    </row>
    <row r="14" customFormat="false" ht="57.45" hidden="false" customHeight="false" outlineLevel="0" collapsed="false">
      <c r="A14" s="15" t="s">
        <v>147</v>
      </c>
      <c r="B14" s="15" t="s">
        <v>1096</v>
      </c>
      <c r="C14" s="15" t="s">
        <v>1119</v>
      </c>
      <c r="D14" s="15" t="s">
        <v>148</v>
      </c>
      <c r="E14" s="15" t="s">
        <v>1120</v>
      </c>
      <c r="F14" s="15" t="s">
        <v>1099</v>
      </c>
      <c r="G14" s="15" t="s">
        <v>131</v>
      </c>
      <c r="H14" s="15" t="s">
        <v>83</v>
      </c>
      <c r="I14" s="15" t="s">
        <v>1121</v>
      </c>
    </row>
    <row r="15" customFormat="false" ht="57.45" hidden="false" customHeight="false" outlineLevel="0" collapsed="false">
      <c r="A15" s="15" t="s">
        <v>153</v>
      </c>
      <c r="B15" s="15" t="s">
        <v>1096</v>
      </c>
      <c r="C15" s="15" t="s">
        <v>1097</v>
      </c>
      <c r="D15" s="15" t="s">
        <v>93</v>
      </c>
      <c r="E15" s="15" t="s">
        <v>1108</v>
      </c>
      <c r="F15" s="15" t="s">
        <v>1099</v>
      </c>
      <c r="G15" s="15" t="s">
        <v>131</v>
      </c>
      <c r="H15" s="15" t="s">
        <v>83</v>
      </c>
      <c r="I15" s="15" t="s">
        <v>1122</v>
      </c>
    </row>
    <row r="16" customFormat="false" ht="57.45" hidden="false" customHeight="false" outlineLevel="0" collapsed="false">
      <c r="A16" s="15" t="s">
        <v>157</v>
      </c>
      <c r="B16" s="15" t="s">
        <v>1096</v>
      </c>
      <c r="C16" s="15" t="s">
        <v>1123</v>
      </c>
      <c r="D16" s="15" t="s">
        <v>158</v>
      </c>
      <c r="E16" s="15" t="s">
        <v>1108</v>
      </c>
      <c r="F16" s="15" t="s">
        <v>1099</v>
      </c>
      <c r="G16" s="15" t="s">
        <v>156</v>
      </c>
      <c r="H16" s="15" t="s">
        <v>83</v>
      </c>
      <c r="I16" s="15" t="s">
        <v>1124</v>
      </c>
    </row>
    <row r="17" customFormat="false" ht="57.45" hidden="false" customHeight="false" outlineLevel="0" collapsed="false">
      <c r="A17" s="15" t="s">
        <v>162</v>
      </c>
      <c r="B17" s="15" t="s">
        <v>1096</v>
      </c>
      <c r="C17" s="15" t="s">
        <v>1123</v>
      </c>
      <c r="D17" s="15" t="s">
        <v>158</v>
      </c>
      <c r="E17" s="15" t="s">
        <v>1125</v>
      </c>
      <c r="F17" s="15" t="s">
        <v>1099</v>
      </c>
      <c r="G17" s="15" t="s">
        <v>156</v>
      </c>
      <c r="H17" s="15" t="s">
        <v>83</v>
      </c>
      <c r="I17" s="15" t="s">
        <v>1126</v>
      </c>
    </row>
    <row r="18" customFormat="false" ht="57.45" hidden="false" customHeight="false" outlineLevel="0" collapsed="false">
      <c r="A18" s="15" t="s">
        <v>167</v>
      </c>
      <c r="B18" s="15" t="s">
        <v>1096</v>
      </c>
      <c r="C18" s="15" t="s">
        <v>1123</v>
      </c>
      <c r="D18" s="15" t="s">
        <v>158</v>
      </c>
      <c r="E18" s="15" t="s">
        <v>1120</v>
      </c>
      <c r="F18" s="15" t="s">
        <v>1099</v>
      </c>
      <c r="G18" s="15" t="s">
        <v>156</v>
      </c>
      <c r="H18" s="15" t="s">
        <v>83</v>
      </c>
      <c r="I18" s="15" t="s">
        <v>1127</v>
      </c>
    </row>
    <row r="19" customFormat="false" ht="57.45" hidden="false" customHeight="false" outlineLevel="0" collapsed="false">
      <c r="A19" s="15" t="s">
        <v>172</v>
      </c>
      <c r="B19" s="15" t="s">
        <v>1096</v>
      </c>
      <c r="C19" s="15" t="s">
        <v>1123</v>
      </c>
      <c r="D19" s="15" t="s">
        <v>158</v>
      </c>
      <c r="E19" s="15" t="s">
        <v>1108</v>
      </c>
      <c r="F19" s="15" t="s">
        <v>1099</v>
      </c>
      <c r="G19" s="15" t="s">
        <v>156</v>
      </c>
      <c r="H19" s="15" t="s">
        <v>83</v>
      </c>
      <c r="I19" s="15" t="s">
        <v>1128</v>
      </c>
    </row>
    <row r="20" customFormat="false" ht="57.45" hidden="false" customHeight="false" outlineLevel="0" collapsed="false">
      <c r="A20" s="15" t="s">
        <v>175</v>
      </c>
      <c r="B20" s="15" t="s">
        <v>1096</v>
      </c>
      <c r="C20" s="15" t="s">
        <v>1129</v>
      </c>
      <c r="D20" s="15" t="s">
        <v>176</v>
      </c>
      <c r="E20" s="15" t="s">
        <v>1108</v>
      </c>
      <c r="F20" s="15" t="s">
        <v>1099</v>
      </c>
      <c r="G20" s="15" t="s">
        <v>156</v>
      </c>
      <c r="H20" s="15" t="s">
        <v>83</v>
      </c>
      <c r="I20" s="15" t="s">
        <v>1130</v>
      </c>
    </row>
    <row r="21" customFormat="false" ht="68.65" hidden="false" customHeight="false" outlineLevel="0" collapsed="false">
      <c r="A21" s="15" t="s">
        <v>179</v>
      </c>
      <c r="B21" s="15" t="s">
        <v>1096</v>
      </c>
      <c r="C21" s="15" t="s">
        <v>1123</v>
      </c>
      <c r="D21" s="15" t="s">
        <v>158</v>
      </c>
      <c r="E21" s="15" t="s">
        <v>1120</v>
      </c>
      <c r="F21" s="15" t="s">
        <v>1099</v>
      </c>
      <c r="G21" s="15" t="s">
        <v>156</v>
      </c>
      <c r="H21" s="15" t="s">
        <v>83</v>
      </c>
      <c r="I21" s="15" t="s">
        <v>1131</v>
      </c>
    </row>
    <row r="22" customFormat="false" ht="57.45" hidden="false" customHeight="false" outlineLevel="0" collapsed="false">
      <c r="A22" s="15" t="s">
        <v>185</v>
      </c>
      <c r="B22" s="15" t="s">
        <v>1096</v>
      </c>
      <c r="C22" s="15" t="s">
        <v>1132</v>
      </c>
      <c r="D22" s="15" t="s">
        <v>186</v>
      </c>
      <c r="E22" s="15" t="s">
        <v>1120</v>
      </c>
      <c r="F22" s="15" t="s">
        <v>1099</v>
      </c>
      <c r="G22" s="15" t="s">
        <v>184</v>
      </c>
      <c r="H22" s="15" t="s">
        <v>83</v>
      </c>
      <c r="I22" s="15" t="s">
        <v>1133</v>
      </c>
    </row>
    <row r="23" customFormat="false" ht="57.45" hidden="false" customHeight="false" outlineLevel="0" collapsed="false">
      <c r="A23" s="15" t="s">
        <v>192</v>
      </c>
      <c r="B23" s="15" t="s">
        <v>1096</v>
      </c>
      <c r="C23" s="15" t="s">
        <v>1132</v>
      </c>
      <c r="D23" s="15" t="s">
        <v>186</v>
      </c>
      <c r="E23" s="15" t="s">
        <v>1125</v>
      </c>
      <c r="F23" s="15" t="s">
        <v>1099</v>
      </c>
      <c r="G23" s="15" t="s">
        <v>184</v>
      </c>
      <c r="H23" s="15" t="s">
        <v>83</v>
      </c>
      <c r="I23" s="15" t="s">
        <v>1134</v>
      </c>
    </row>
    <row r="24" customFormat="false" ht="57.45" hidden="false" customHeight="false" outlineLevel="0" collapsed="false">
      <c r="A24" s="15" t="s">
        <v>195</v>
      </c>
      <c r="B24" s="15" t="s">
        <v>1096</v>
      </c>
      <c r="C24" s="15" t="s">
        <v>1132</v>
      </c>
      <c r="D24" s="15" t="s">
        <v>186</v>
      </c>
      <c r="E24" s="15" t="s">
        <v>1104</v>
      </c>
      <c r="F24" s="15" t="s">
        <v>1099</v>
      </c>
      <c r="G24" s="15" t="s">
        <v>184</v>
      </c>
      <c r="H24" s="15" t="s">
        <v>83</v>
      </c>
      <c r="I24" s="15" t="s">
        <v>1135</v>
      </c>
    </row>
    <row r="25" customFormat="false" ht="57.45" hidden="false" customHeight="false" outlineLevel="0" collapsed="false">
      <c r="A25" s="15" t="s">
        <v>198</v>
      </c>
      <c r="B25" s="15" t="s">
        <v>1096</v>
      </c>
      <c r="C25" s="15" t="s">
        <v>1132</v>
      </c>
      <c r="D25" s="15" t="s">
        <v>186</v>
      </c>
      <c r="E25" s="15" t="s">
        <v>1108</v>
      </c>
      <c r="F25" s="15" t="s">
        <v>1099</v>
      </c>
      <c r="G25" s="15" t="s">
        <v>184</v>
      </c>
      <c r="H25" s="15" t="s">
        <v>83</v>
      </c>
      <c r="I25" s="15" t="s">
        <v>1136</v>
      </c>
    </row>
    <row r="26" customFormat="false" ht="57.45" hidden="false" customHeight="false" outlineLevel="0" collapsed="false">
      <c r="A26" s="15" t="s">
        <v>203</v>
      </c>
      <c r="B26" s="15" t="s">
        <v>1096</v>
      </c>
      <c r="C26" s="15" t="s">
        <v>1132</v>
      </c>
      <c r="D26" s="15" t="s">
        <v>186</v>
      </c>
      <c r="E26" s="15" t="s">
        <v>1114</v>
      </c>
      <c r="F26" s="15" t="s">
        <v>1099</v>
      </c>
      <c r="G26" s="15" t="s">
        <v>184</v>
      </c>
      <c r="H26" s="15" t="s">
        <v>83</v>
      </c>
      <c r="I26" s="15" t="s">
        <v>1137</v>
      </c>
    </row>
    <row r="27" customFormat="false" ht="57.45" hidden="false" customHeight="false" outlineLevel="0" collapsed="false">
      <c r="A27" s="15" t="s">
        <v>207</v>
      </c>
      <c r="B27" s="15" t="s">
        <v>1096</v>
      </c>
      <c r="C27" s="15" t="s">
        <v>1138</v>
      </c>
      <c r="D27" s="15" t="s">
        <v>208</v>
      </c>
      <c r="E27" s="15" t="s">
        <v>1125</v>
      </c>
      <c r="F27" s="15" t="s">
        <v>1139</v>
      </c>
      <c r="G27" s="15" t="s">
        <v>78</v>
      </c>
      <c r="H27" s="15" t="s">
        <v>212</v>
      </c>
      <c r="I27" s="15" t="s">
        <v>1140</v>
      </c>
    </row>
    <row r="28" customFormat="false" ht="57.45" hidden="false" customHeight="false" outlineLevel="0" collapsed="false">
      <c r="A28" s="15" t="s">
        <v>216</v>
      </c>
      <c r="B28" s="15" t="s">
        <v>1096</v>
      </c>
      <c r="C28" s="15" t="s">
        <v>1103</v>
      </c>
      <c r="D28" s="15" t="s">
        <v>80</v>
      </c>
      <c r="E28" s="15" t="s">
        <v>1108</v>
      </c>
      <c r="F28" s="15" t="s">
        <v>1139</v>
      </c>
      <c r="G28" s="15" t="s">
        <v>78</v>
      </c>
      <c r="H28" s="15" t="s">
        <v>212</v>
      </c>
      <c r="I28" s="15" t="s">
        <v>1141</v>
      </c>
    </row>
    <row r="29" customFormat="false" ht="57.45" hidden="false" customHeight="false" outlineLevel="0" collapsed="false">
      <c r="A29" s="15" t="s">
        <v>222</v>
      </c>
      <c r="B29" s="15" t="s">
        <v>1096</v>
      </c>
      <c r="C29" s="15" t="s">
        <v>1103</v>
      </c>
      <c r="D29" s="15" t="s">
        <v>80</v>
      </c>
      <c r="E29" s="15" t="s">
        <v>1104</v>
      </c>
      <c r="F29" s="15" t="s">
        <v>1139</v>
      </c>
      <c r="G29" s="15" t="s">
        <v>78</v>
      </c>
      <c r="H29" s="15" t="s">
        <v>212</v>
      </c>
      <c r="I29" s="15" t="s">
        <v>1142</v>
      </c>
    </row>
    <row r="30" customFormat="false" ht="68.65" hidden="false" customHeight="false" outlineLevel="0" collapsed="false">
      <c r="A30" s="15" t="s">
        <v>225</v>
      </c>
      <c r="B30" s="15" t="s">
        <v>1096</v>
      </c>
      <c r="C30" s="15" t="s">
        <v>1103</v>
      </c>
      <c r="D30" s="15" t="s">
        <v>80</v>
      </c>
      <c r="E30" s="15" t="s">
        <v>1101</v>
      </c>
      <c r="F30" s="15" t="s">
        <v>1139</v>
      </c>
      <c r="G30" s="15" t="s">
        <v>78</v>
      </c>
      <c r="H30" s="15" t="s">
        <v>212</v>
      </c>
      <c r="I30" s="15" t="s">
        <v>1143</v>
      </c>
    </row>
    <row r="31" customFormat="false" ht="57.45" hidden="false" customHeight="false" outlineLevel="0" collapsed="false">
      <c r="A31" s="15" t="s">
        <v>230</v>
      </c>
      <c r="B31" s="15" t="s">
        <v>1096</v>
      </c>
      <c r="C31" s="15" t="s">
        <v>1103</v>
      </c>
      <c r="D31" s="15" t="s">
        <v>80</v>
      </c>
      <c r="E31" s="15" t="s">
        <v>1144</v>
      </c>
      <c r="F31" s="15" t="s">
        <v>1139</v>
      </c>
      <c r="G31" s="15" t="s">
        <v>78</v>
      </c>
      <c r="H31" s="15" t="s">
        <v>212</v>
      </c>
      <c r="I31" s="15" t="s">
        <v>1145</v>
      </c>
    </row>
    <row r="32" customFormat="false" ht="57.45" hidden="false" customHeight="false" outlineLevel="0" collapsed="false">
      <c r="A32" s="15" t="s">
        <v>233</v>
      </c>
      <c r="B32" s="15" t="s">
        <v>1096</v>
      </c>
      <c r="C32" s="15" t="s">
        <v>1138</v>
      </c>
      <c r="D32" s="15" t="s">
        <v>208</v>
      </c>
      <c r="E32" s="15" t="s">
        <v>1125</v>
      </c>
      <c r="F32" s="15" t="s">
        <v>1139</v>
      </c>
      <c r="G32" s="15" t="s">
        <v>109</v>
      </c>
      <c r="H32" s="15" t="s">
        <v>212</v>
      </c>
      <c r="I32" s="15" t="s">
        <v>1146</v>
      </c>
    </row>
    <row r="33" customFormat="false" ht="68.65" hidden="false" customHeight="false" outlineLevel="0" collapsed="false">
      <c r="A33" s="15" t="s">
        <v>238</v>
      </c>
      <c r="B33" s="15" t="s">
        <v>1096</v>
      </c>
      <c r="C33" s="15" t="s">
        <v>1138</v>
      </c>
      <c r="D33" s="15" t="s">
        <v>208</v>
      </c>
      <c r="E33" s="15" t="s">
        <v>1104</v>
      </c>
      <c r="F33" s="15" t="s">
        <v>1139</v>
      </c>
      <c r="G33" s="15" t="s">
        <v>109</v>
      </c>
      <c r="H33" s="15" t="s">
        <v>212</v>
      </c>
      <c r="I33" s="15" t="s">
        <v>1147</v>
      </c>
    </row>
    <row r="34" customFormat="false" ht="57.45" hidden="false" customHeight="false" outlineLevel="0" collapsed="false">
      <c r="A34" s="15" t="s">
        <v>241</v>
      </c>
      <c r="B34" s="15" t="s">
        <v>1096</v>
      </c>
      <c r="C34" s="15" t="s">
        <v>1138</v>
      </c>
      <c r="D34" s="15" t="s">
        <v>208</v>
      </c>
      <c r="E34" s="15" t="s">
        <v>1108</v>
      </c>
      <c r="F34" s="15" t="s">
        <v>1139</v>
      </c>
      <c r="G34" s="15" t="s">
        <v>109</v>
      </c>
      <c r="H34" s="15" t="s">
        <v>212</v>
      </c>
      <c r="I34" s="15" t="s">
        <v>1148</v>
      </c>
    </row>
    <row r="35" customFormat="false" ht="57.45" hidden="false" customHeight="false" outlineLevel="0" collapsed="false">
      <c r="A35" s="15" t="s">
        <v>246</v>
      </c>
      <c r="B35" s="15" t="s">
        <v>1096</v>
      </c>
      <c r="C35" s="15" t="s">
        <v>1138</v>
      </c>
      <c r="D35" s="15" t="s">
        <v>208</v>
      </c>
      <c r="E35" s="15" t="s">
        <v>1120</v>
      </c>
      <c r="F35" s="15" t="s">
        <v>1139</v>
      </c>
      <c r="G35" s="15" t="s">
        <v>109</v>
      </c>
      <c r="H35" s="15" t="s">
        <v>212</v>
      </c>
      <c r="I35" s="15" t="s">
        <v>1149</v>
      </c>
    </row>
    <row r="36" customFormat="false" ht="57.45" hidden="false" customHeight="false" outlineLevel="0" collapsed="false">
      <c r="A36" s="15" t="s">
        <v>249</v>
      </c>
      <c r="B36" s="15" t="s">
        <v>1096</v>
      </c>
      <c r="C36" s="15" t="s">
        <v>1138</v>
      </c>
      <c r="D36" s="15" t="s">
        <v>208</v>
      </c>
      <c r="E36" s="15" t="s">
        <v>1120</v>
      </c>
      <c r="F36" s="15" t="s">
        <v>1139</v>
      </c>
      <c r="G36" s="15" t="s">
        <v>109</v>
      </c>
      <c r="H36" s="15" t="s">
        <v>212</v>
      </c>
      <c r="I36" s="15" t="s">
        <v>1150</v>
      </c>
    </row>
    <row r="37" customFormat="false" ht="57.45" hidden="false" customHeight="false" outlineLevel="0" collapsed="false">
      <c r="A37" s="15" t="s">
        <v>252</v>
      </c>
      <c r="B37" s="15" t="s">
        <v>1096</v>
      </c>
      <c r="C37" s="15" t="s">
        <v>1097</v>
      </c>
      <c r="D37" s="15" t="s">
        <v>93</v>
      </c>
      <c r="E37" s="15" t="s">
        <v>1120</v>
      </c>
      <c r="F37" s="15" t="s">
        <v>1139</v>
      </c>
      <c r="G37" s="15" t="s">
        <v>109</v>
      </c>
      <c r="H37" s="15" t="s">
        <v>212</v>
      </c>
      <c r="I37" s="15" t="s">
        <v>1151</v>
      </c>
    </row>
    <row r="38" customFormat="false" ht="57.45" hidden="false" customHeight="false" outlineLevel="0" collapsed="false">
      <c r="A38" s="15" t="s">
        <v>255</v>
      </c>
      <c r="B38" s="15" t="s">
        <v>1096</v>
      </c>
      <c r="C38" s="15" t="s">
        <v>1152</v>
      </c>
      <c r="D38" s="15" t="s">
        <v>256</v>
      </c>
      <c r="E38" s="15" t="s">
        <v>1114</v>
      </c>
      <c r="F38" s="15" t="s">
        <v>1139</v>
      </c>
      <c r="G38" s="15" t="s">
        <v>131</v>
      </c>
      <c r="H38" s="15" t="s">
        <v>212</v>
      </c>
      <c r="I38" s="15" t="s">
        <v>1153</v>
      </c>
    </row>
    <row r="39" customFormat="false" ht="57.45" hidden="false" customHeight="false" outlineLevel="0" collapsed="false">
      <c r="A39" s="15" t="s">
        <v>263</v>
      </c>
      <c r="B39" s="15" t="s">
        <v>1096</v>
      </c>
      <c r="C39" s="15" t="s">
        <v>1152</v>
      </c>
      <c r="D39" s="15" t="s">
        <v>256</v>
      </c>
      <c r="E39" s="15" t="s">
        <v>1114</v>
      </c>
      <c r="F39" s="15" t="s">
        <v>1139</v>
      </c>
      <c r="G39" s="15" t="s">
        <v>131</v>
      </c>
      <c r="H39" s="15" t="s">
        <v>212</v>
      </c>
      <c r="I39" s="15" t="s">
        <v>1154</v>
      </c>
    </row>
    <row r="40" customFormat="false" ht="57.45" hidden="false" customHeight="false" outlineLevel="0" collapsed="false">
      <c r="A40" s="15" t="s">
        <v>268</v>
      </c>
      <c r="B40" s="15" t="s">
        <v>1096</v>
      </c>
      <c r="C40" s="15" t="s">
        <v>1152</v>
      </c>
      <c r="D40" s="15" t="s">
        <v>256</v>
      </c>
      <c r="E40" s="15" t="s">
        <v>1114</v>
      </c>
      <c r="F40" s="15" t="s">
        <v>1139</v>
      </c>
      <c r="G40" s="15" t="s">
        <v>131</v>
      </c>
      <c r="H40" s="15" t="s">
        <v>212</v>
      </c>
      <c r="I40" s="15" t="s">
        <v>1155</v>
      </c>
    </row>
    <row r="41" customFormat="false" ht="57.45" hidden="false" customHeight="false" outlineLevel="0" collapsed="false">
      <c r="A41" s="15" t="s">
        <v>273</v>
      </c>
      <c r="B41" s="15" t="s">
        <v>1096</v>
      </c>
      <c r="C41" s="15" t="s">
        <v>1152</v>
      </c>
      <c r="D41" s="15" t="s">
        <v>256</v>
      </c>
      <c r="E41" s="15" t="s">
        <v>1120</v>
      </c>
      <c r="F41" s="15" t="s">
        <v>1139</v>
      </c>
      <c r="G41" s="15" t="s">
        <v>131</v>
      </c>
      <c r="H41" s="15" t="s">
        <v>212</v>
      </c>
      <c r="I41" s="15" t="s">
        <v>1156</v>
      </c>
    </row>
    <row r="42" customFormat="false" ht="57.45" hidden="false" customHeight="false" outlineLevel="0" collapsed="false">
      <c r="A42" s="15" t="s">
        <v>278</v>
      </c>
      <c r="B42" s="15" t="s">
        <v>1096</v>
      </c>
      <c r="C42" s="15" t="s">
        <v>1152</v>
      </c>
      <c r="D42" s="15" t="s">
        <v>256</v>
      </c>
      <c r="E42" s="15" t="s">
        <v>1120</v>
      </c>
      <c r="F42" s="15" t="s">
        <v>1139</v>
      </c>
      <c r="G42" s="15" t="s">
        <v>131</v>
      </c>
      <c r="H42" s="15" t="s">
        <v>212</v>
      </c>
      <c r="I42" s="15" t="s">
        <v>1157</v>
      </c>
    </row>
    <row r="43" customFormat="false" ht="57.45" hidden="false" customHeight="false" outlineLevel="0" collapsed="false">
      <c r="A43" s="15" t="s">
        <v>281</v>
      </c>
      <c r="B43" s="15" t="s">
        <v>1096</v>
      </c>
      <c r="C43" s="15" t="s">
        <v>1097</v>
      </c>
      <c r="D43" s="15" t="s">
        <v>93</v>
      </c>
      <c r="E43" s="15" t="s">
        <v>1144</v>
      </c>
      <c r="F43" s="15" t="s">
        <v>1139</v>
      </c>
      <c r="G43" s="15" t="s">
        <v>131</v>
      </c>
      <c r="H43" s="15" t="s">
        <v>212</v>
      </c>
      <c r="I43" s="15" t="s">
        <v>1158</v>
      </c>
    </row>
    <row r="44" customFormat="false" ht="57.45" hidden="false" customHeight="false" outlineLevel="0" collapsed="false">
      <c r="A44" s="15" t="s">
        <v>284</v>
      </c>
      <c r="B44" s="15" t="s">
        <v>1096</v>
      </c>
      <c r="C44" s="15" t="s">
        <v>1123</v>
      </c>
      <c r="D44" s="15" t="s">
        <v>158</v>
      </c>
      <c r="E44" s="15" t="s">
        <v>1159</v>
      </c>
      <c r="F44" s="15" t="s">
        <v>1139</v>
      </c>
      <c r="G44" s="15" t="s">
        <v>156</v>
      </c>
      <c r="H44" s="15" t="s">
        <v>212</v>
      </c>
      <c r="I44" s="15" t="s">
        <v>1160</v>
      </c>
    </row>
    <row r="45" customFormat="false" ht="57.45" hidden="false" customHeight="false" outlineLevel="0" collapsed="false">
      <c r="A45" s="15" t="s">
        <v>289</v>
      </c>
      <c r="B45" s="15" t="s">
        <v>1096</v>
      </c>
      <c r="C45" s="15" t="s">
        <v>1123</v>
      </c>
      <c r="D45" s="15" t="s">
        <v>158</v>
      </c>
      <c r="E45" s="15" t="s">
        <v>1108</v>
      </c>
      <c r="F45" s="15" t="s">
        <v>1139</v>
      </c>
      <c r="G45" s="15" t="s">
        <v>156</v>
      </c>
      <c r="H45" s="15" t="s">
        <v>212</v>
      </c>
      <c r="I45" s="15" t="s">
        <v>1161</v>
      </c>
    </row>
    <row r="46" customFormat="false" ht="57.45" hidden="false" customHeight="false" outlineLevel="0" collapsed="false">
      <c r="A46" s="15" t="s">
        <v>294</v>
      </c>
      <c r="B46" s="15" t="s">
        <v>1096</v>
      </c>
      <c r="C46" s="15" t="s">
        <v>1123</v>
      </c>
      <c r="D46" s="15" t="s">
        <v>158</v>
      </c>
      <c r="E46" s="15" t="s">
        <v>1120</v>
      </c>
      <c r="F46" s="15" t="s">
        <v>1139</v>
      </c>
      <c r="G46" s="15" t="s">
        <v>156</v>
      </c>
      <c r="H46" s="15" t="s">
        <v>212</v>
      </c>
      <c r="I46" s="15" t="s">
        <v>1162</v>
      </c>
    </row>
    <row r="47" customFormat="false" ht="57.45" hidden="false" customHeight="false" outlineLevel="0" collapsed="false">
      <c r="A47" s="15" t="s">
        <v>297</v>
      </c>
      <c r="B47" s="15" t="s">
        <v>1096</v>
      </c>
      <c r="C47" s="15" t="s">
        <v>1123</v>
      </c>
      <c r="D47" s="15" t="s">
        <v>158</v>
      </c>
      <c r="E47" s="15" t="s">
        <v>1108</v>
      </c>
      <c r="F47" s="15" t="s">
        <v>1139</v>
      </c>
      <c r="G47" s="15" t="s">
        <v>156</v>
      </c>
      <c r="H47" s="15" t="s">
        <v>212</v>
      </c>
      <c r="I47" s="15" t="s">
        <v>1163</v>
      </c>
    </row>
    <row r="48" customFormat="false" ht="57.45" hidden="false" customHeight="false" outlineLevel="0" collapsed="false">
      <c r="A48" s="15" t="s">
        <v>300</v>
      </c>
      <c r="B48" s="15" t="s">
        <v>1096</v>
      </c>
      <c r="C48" s="15" t="s">
        <v>1123</v>
      </c>
      <c r="D48" s="15" t="s">
        <v>158</v>
      </c>
      <c r="E48" s="15" t="s">
        <v>1120</v>
      </c>
      <c r="F48" s="15" t="s">
        <v>1139</v>
      </c>
      <c r="G48" s="15" t="s">
        <v>156</v>
      </c>
      <c r="H48" s="15" t="s">
        <v>212</v>
      </c>
      <c r="I48" s="15" t="s">
        <v>1164</v>
      </c>
    </row>
    <row r="49" customFormat="false" ht="57.45" hidden="false" customHeight="false" outlineLevel="0" collapsed="false">
      <c r="A49" s="15" t="s">
        <v>303</v>
      </c>
      <c r="B49" s="15" t="s">
        <v>1096</v>
      </c>
      <c r="C49" s="15" t="s">
        <v>1129</v>
      </c>
      <c r="D49" s="15" t="s">
        <v>176</v>
      </c>
      <c r="E49" s="15" t="s">
        <v>1144</v>
      </c>
      <c r="F49" s="15" t="s">
        <v>1139</v>
      </c>
      <c r="G49" s="15" t="s">
        <v>156</v>
      </c>
      <c r="H49" s="15" t="s">
        <v>212</v>
      </c>
      <c r="I49" s="15" t="s">
        <v>1165</v>
      </c>
    </row>
    <row r="50" customFormat="false" ht="57.45" hidden="false" customHeight="false" outlineLevel="0" collapsed="false">
      <c r="A50" s="15" t="s">
        <v>306</v>
      </c>
      <c r="B50" s="15" t="s">
        <v>1096</v>
      </c>
      <c r="C50" s="15" t="s">
        <v>1132</v>
      </c>
      <c r="D50" s="15" t="s">
        <v>186</v>
      </c>
      <c r="E50" s="15" t="s">
        <v>1101</v>
      </c>
      <c r="F50" s="15" t="s">
        <v>1139</v>
      </c>
      <c r="G50" s="15" t="s">
        <v>184</v>
      </c>
      <c r="H50" s="15" t="s">
        <v>212</v>
      </c>
      <c r="I50" s="15" t="s">
        <v>1166</v>
      </c>
    </row>
    <row r="51" customFormat="false" ht="57.45" hidden="false" customHeight="false" outlineLevel="0" collapsed="false">
      <c r="A51" s="15" t="s">
        <v>310</v>
      </c>
      <c r="B51" s="15" t="s">
        <v>1096</v>
      </c>
      <c r="C51" s="15" t="s">
        <v>1132</v>
      </c>
      <c r="D51" s="15" t="s">
        <v>186</v>
      </c>
      <c r="E51" s="15" t="s">
        <v>1114</v>
      </c>
      <c r="F51" s="15" t="s">
        <v>1139</v>
      </c>
      <c r="G51" s="15" t="s">
        <v>184</v>
      </c>
      <c r="H51" s="15" t="s">
        <v>212</v>
      </c>
      <c r="I51" s="15" t="s">
        <v>1167</v>
      </c>
    </row>
    <row r="52" customFormat="false" ht="57.45" hidden="false" customHeight="false" outlineLevel="0" collapsed="false">
      <c r="A52" s="15" t="s">
        <v>316</v>
      </c>
      <c r="B52" s="15" t="s">
        <v>1096</v>
      </c>
      <c r="C52" s="15" t="s">
        <v>1132</v>
      </c>
      <c r="D52" s="15" t="s">
        <v>186</v>
      </c>
      <c r="E52" s="15" t="s">
        <v>1120</v>
      </c>
      <c r="F52" s="15" t="s">
        <v>1139</v>
      </c>
      <c r="G52" s="15" t="s">
        <v>184</v>
      </c>
      <c r="H52" s="15" t="s">
        <v>212</v>
      </c>
      <c r="I52" s="15" t="s">
        <v>1168</v>
      </c>
    </row>
    <row r="53" customFormat="false" ht="57.45" hidden="false" customHeight="false" outlineLevel="0" collapsed="false">
      <c r="A53" s="15" t="s">
        <v>319</v>
      </c>
      <c r="B53" s="15" t="s">
        <v>1096</v>
      </c>
      <c r="C53" s="15" t="s">
        <v>1132</v>
      </c>
      <c r="D53" s="15" t="s">
        <v>186</v>
      </c>
      <c r="E53" s="15" t="s">
        <v>1108</v>
      </c>
      <c r="F53" s="15" t="s">
        <v>1139</v>
      </c>
      <c r="G53" s="15" t="s">
        <v>184</v>
      </c>
      <c r="H53" s="15" t="s">
        <v>212</v>
      </c>
      <c r="I53" s="15" t="s">
        <v>1169</v>
      </c>
    </row>
    <row r="54" customFormat="false" ht="57.45" hidden="false" customHeight="false" outlineLevel="0" collapsed="false">
      <c r="A54" s="15" t="s">
        <v>322</v>
      </c>
      <c r="B54" s="15" t="s">
        <v>1096</v>
      </c>
      <c r="C54" s="15" t="s">
        <v>1132</v>
      </c>
      <c r="D54" s="15" t="s">
        <v>186</v>
      </c>
      <c r="E54" s="15" t="s">
        <v>1108</v>
      </c>
      <c r="F54" s="15" t="s">
        <v>1139</v>
      </c>
      <c r="G54" s="15" t="s">
        <v>184</v>
      </c>
      <c r="H54" s="15" t="s">
        <v>212</v>
      </c>
      <c r="I54" s="15" t="s">
        <v>1170</v>
      </c>
    </row>
    <row r="55" customFormat="false" ht="57.45" hidden="false" customHeight="false" outlineLevel="0" collapsed="false">
      <c r="A55" s="15" t="s">
        <v>326</v>
      </c>
      <c r="B55" s="15" t="s">
        <v>1096</v>
      </c>
      <c r="C55" s="15" t="s">
        <v>1132</v>
      </c>
      <c r="D55" s="15" t="s">
        <v>186</v>
      </c>
      <c r="E55" s="15" t="s">
        <v>1144</v>
      </c>
      <c r="F55" s="15" t="s">
        <v>1139</v>
      </c>
      <c r="G55" s="15" t="s">
        <v>184</v>
      </c>
      <c r="H55" s="15" t="s">
        <v>212</v>
      </c>
      <c r="I55" s="15" t="s">
        <v>1171</v>
      </c>
    </row>
    <row r="56" customFormat="false" ht="68.65" hidden="false" customHeight="false" outlineLevel="0" collapsed="false">
      <c r="A56" s="15" t="s">
        <v>331</v>
      </c>
      <c r="B56" s="15" t="s">
        <v>1096</v>
      </c>
      <c r="C56" s="15" t="s">
        <v>1112</v>
      </c>
      <c r="D56" s="15" t="s">
        <v>123</v>
      </c>
      <c r="E56" s="15" t="s">
        <v>1159</v>
      </c>
      <c r="F56" s="15" t="s">
        <v>1172</v>
      </c>
      <c r="G56" s="15" t="s">
        <v>78</v>
      </c>
      <c r="H56" s="15" t="s">
        <v>335</v>
      </c>
      <c r="I56" s="15" t="s">
        <v>1173</v>
      </c>
    </row>
    <row r="57" customFormat="false" ht="57.45" hidden="false" customHeight="false" outlineLevel="0" collapsed="false">
      <c r="A57" s="15" t="s">
        <v>339</v>
      </c>
      <c r="B57" s="15" t="s">
        <v>1096</v>
      </c>
      <c r="C57" s="15" t="s">
        <v>1112</v>
      </c>
      <c r="D57" s="15" t="s">
        <v>123</v>
      </c>
      <c r="E57" s="15" t="s">
        <v>1108</v>
      </c>
      <c r="F57" s="15" t="s">
        <v>1172</v>
      </c>
      <c r="G57" s="15" t="s">
        <v>78</v>
      </c>
      <c r="H57" s="15" t="s">
        <v>335</v>
      </c>
      <c r="I57" s="15" t="s">
        <v>1174</v>
      </c>
    </row>
    <row r="58" customFormat="false" ht="57.45" hidden="false" customHeight="false" outlineLevel="0" collapsed="false">
      <c r="A58" s="15" t="s">
        <v>342</v>
      </c>
      <c r="B58" s="15" t="s">
        <v>1096</v>
      </c>
      <c r="C58" s="15" t="s">
        <v>1112</v>
      </c>
      <c r="D58" s="15" t="s">
        <v>123</v>
      </c>
      <c r="E58" s="15" t="s">
        <v>1114</v>
      </c>
      <c r="F58" s="15" t="s">
        <v>1172</v>
      </c>
      <c r="G58" s="15" t="s">
        <v>78</v>
      </c>
      <c r="H58" s="15" t="s">
        <v>335</v>
      </c>
      <c r="I58" s="15" t="s">
        <v>1175</v>
      </c>
    </row>
    <row r="59" customFormat="false" ht="57.45" hidden="false" customHeight="false" outlineLevel="0" collapsed="false">
      <c r="A59" s="15" t="s">
        <v>347</v>
      </c>
      <c r="B59" s="15" t="s">
        <v>1096</v>
      </c>
      <c r="C59" s="15" t="s">
        <v>1119</v>
      </c>
      <c r="D59" s="15" t="s">
        <v>148</v>
      </c>
      <c r="E59" s="15" t="s">
        <v>1108</v>
      </c>
      <c r="F59" s="15" t="s">
        <v>1172</v>
      </c>
      <c r="G59" s="15" t="s">
        <v>78</v>
      </c>
      <c r="H59" s="15" t="s">
        <v>335</v>
      </c>
      <c r="I59" s="15" t="s">
        <v>1176</v>
      </c>
    </row>
    <row r="60" customFormat="false" ht="57.45" hidden="false" customHeight="false" outlineLevel="0" collapsed="false">
      <c r="A60" s="15" t="s">
        <v>352</v>
      </c>
      <c r="B60" s="15" t="s">
        <v>1096</v>
      </c>
      <c r="C60" s="15" t="s">
        <v>1103</v>
      </c>
      <c r="D60" s="15" t="s">
        <v>80</v>
      </c>
      <c r="E60" s="15" t="s">
        <v>1144</v>
      </c>
      <c r="F60" s="15" t="s">
        <v>1172</v>
      </c>
      <c r="G60" s="15" t="s">
        <v>78</v>
      </c>
      <c r="H60" s="15" t="s">
        <v>335</v>
      </c>
      <c r="I60" s="15" t="s">
        <v>1177</v>
      </c>
    </row>
    <row r="61" customFormat="false" ht="57.45" hidden="false" customHeight="false" outlineLevel="0" collapsed="false">
      <c r="A61" s="15" t="s">
        <v>355</v>
      </c>
      <c r="B61" s="15" t="s">
        <v>1096</v>
      </c>
      <c r="C61" s="15" t="s">
        <v>1112</v>
      </c>
      <c r="D61" s="15" t="s">
        <v>123</v>
      </c>
      <c r="E61" s="15" t="s">
        <v>1108</v>
      </c>
      <c r="F61" s="15" t="s">
        <v>1172</v>
      </c>
      <c r="G61" s="15" t="s">
        <v>109</v>
      </c>
      <c r="H61" s="15" t="s">
        <v>335</v>
      </c>
      <c r="I61" s="15" t="s">
        <v>1178</v>
      </c>
    </row>
    <row r="62" customFormat="false" ht="57.45" hidden="false" customHeight="false" outlineLevel="0" collapsed="false">
      <c r="A62" s="15" t="s">
        <v>360</v>
      </c>
      <c r="B62" s="15" t="s">
        <v>1096</v>
      </c>
      <c r="C62" s="15" t="s">
        <v>1112</v>
      </c>
      <c r="D62" s="15" t="s">
        <v>123</v>
      </c>
      <c r="E62" s="15" t="s">
        <v>1101</v>
      </c>
      <c r="F62" s="15" t="s">
        <v>1172</v>
      </c>
      <c r="G62" s="15" t="s">
        <v>109</v>
      </c>
      <c r="H62" s="15" t="s">
        <v>335</v>
      </c>
      <c r="I62" s="15" t="s">
        <v>1179</v>
      </c>
    </row>
    <row r="63" customFormat="false" ht="57.45" hidden="false" customHeight="false" outlineLevel="0" collapsed="false">
      <c r="A63" s="15" t="s">
        <v>365</v>
      </c>
      <c r="B63" s="15" t="s">
        <v>1096</v>
      </c>
      <c r="C63" s="15" t="s">
        <v>1112</v>
      </c>
      <c r="D63" s="15" t="s">
        <v>123</v>
      </c>
      <c r="E63" s="15" t="s">
        <v>1114</v>
      </c>
      <c r="F63" s="15" t="s">
        <v>1172</v>
      </c>
      <c r="G63" s="15" t="s">
        <v>109</v>
      </c>
      <c r="H63" s="15" t="s">
        <v>335</v>
      </c>
      <c r="I63" s="15" t="s">
        <v>1180</v>
      </c>
    </row>
    <row r="64" customFormat="false" ht="57.45" hidden="false" customHeight="false" outlineLevel="0" collapsed="false">
      <c r="A64" s="15" t="s">
        <v>368</v>
      </c>
      <c r="B64" s="15" t="s">
        <v>1096</v>
      </c>
      <c r="C64" s="15" t="s">
        <v>1112</v>
      </c>
      <c r="D64" s="15" t="s">
        <v>123</v>
      </c>
      <c r="E64" s="15" t="s">
        <v>1120</v>
      </c>
      <c r="F64" s="15" t="s">
        <v>1172</v>
      </c>
      <c r="G64" s="15" t="s">
        <v>109</v>
      </c>
      <c r="H64" s="15" t="s">
        <v>335</v>
      </c>
      <c r="I64" s="15" t="s">
        <v>1181</v>
      </c>
    </row>
    <row r="65" customFormat="false" ht="57.45" hidden="false" customHeight="false" outlineLevel="0" collapsed="false">
      <c r="A65" s="15" t="s">
        <v>371</v>
      </c>
      <c r="B65" s="15" t="s">
        <v>1096</v>
      </c>
      <c r="C65" s="15" t="s">
        <v>1182</v>
      </c>
      <c r="D65" s="15" t="s">
        <v>372</v>
      </c>
      <c r="E65" s="15" t="s">
        <v>1120</v>
      </c>
      <c r="F65" s="15" t="s">
        <v>1172</v>
      </c>
      <c r="G65" s="15" t="s">
        <v>109</v>
      </c>
      <c r="H65" s="15" t="s">
        <v>335</v>
      </c>
      <c r="I65" s="15" t="s">
        <v>1183</v>
      </c>
    </row>
    <row r="66" customFormat="false" ht="57.45" hidden="false" customHeight="false" outlineLevel="0" collapsed="false">
      <c r="A66" s="15" t="s">
        <v>378</v>
      </c>
      <c r="B66" s="15" t="s">
        <v>1096</v>
      </c>
      <c r="C66" s="15" t="s">
        <v>1112</v>
      </c>
      <c r="D66" s="15" t="s">
        <v>123</v>
      </c>
      <c r="E66" s="15" t="s">
        <v>1120</v>
      </c>
      <c r="F66" s="15" t="s">
        <v>1172</v>
      </c>
      <c r="G66" s="15" t="s">
        <v>109</v>
      </c>
      <c r="H66" s="15" t="s">
        <v>335</v>
      </c>
      <c r="I66" s="15" t="s">
        <v>1184</v>
      </c>
    </row>
    <row r="67" customFormat="false" ht="57.45" hidden="false" customHeight="false" outlineLevel="0" collapsed="false">
      <c r="A67" s="15" t="s">
        <v>380</v>
      </c>
      <c r="B67" s="15" t="s">
        <v>1096</v>
      </c>
      <c r="C67" s="15" t="s">
        <v>1182</v>
      </c>
      <c r="D67" s="15" t="s">
        <v>372</v>
      </c>
      <c r="E67" s="15" t="s">
        <v>1108</v>
      </c>
      <c r="F67" s="15" t="s">
        <v>1172</v>
      </c>
      <c r="G67" s="15" t="s">
        <v>131</v>
      </c>
      <c r="H67" s="15" t="s">
        <v>335</v>
      </c>
      <c r="I67" s="15" t="s">
        <v>1185</v>
      </c>
    </row>
    <row r="68" customFormat="false" ht="57.45" hidden="false" customHeight="false" outlineLevel="0" collapsed="false">
      <c r="A68" s="15" t="s">
        <v>386</v>
      </c>
      <c r="B68" s="15" t="s">
        <v>1096</v>
      </c>
      <c r="C68" s="15" t="s">
        <v>1182</v>
      </c>
      <c r="D68" s="15" t="s">
        <v>372</v>
      </c>
      <c r="E68" s="15" t="s">
        <v>1125</v>
      </c>
      <c r="F68" s="15" t="s">
        <v>1172</v>
      </c>
      <c r="G68" s="15" t="s">
        <v>131</v>
      </c>
      <c r="H68" s="15" t="s">
        <v>335</v>
      </c>
      <c r="I68" s="15" t="s">
        <v>1186</v>
      </c>
    </row>
    <row r="69" customFormat="false" ht="57.45" hidden="false" customHeight="false" outlineLevel="0" collapsed="false">
      <c r="A69" s="15" t="s">
        <v>389</v>
      </c>
      <c r="B69" s="15" t="s">
        <v>1096</v>
      </c>
      <c r="C69" s="15" t="s">
        <v>1182</v>
      </c>
      <c r="D69" s="15" t="s">
        <v>372</v>
      </c>
      <c r="E69" s="15" t="s">
        <v>1108</v>
      </c>
      <c r="F69" s="15" t="s">
        <v>1172</v>
      </c>
      <c r="G69" s="15" t="s">
        <v>131</v>
      </c>
      <c r="H69" s="15" t="s">
        <v>335</v>
      </c>
      <c r="I69" s="15" t="s">
        <v>1187</v>
      </c>
    </row>
    <row r="70" customFormat="false" ht="57.45" hidden="false" customHeight="false" outlineLevel="0" collapsed="false">
      <c r="A70" s="15" t="s">
        <v>394</v>
      </c>
      <c r="B70" s="15" t="s">
        <v>1096</v>
      </c>
      <c r="C70" s="15" t="s">
        <v>1182</v>
      </c>
      <c r="D70" s="15" t="s">
        <v>372</v>
      </c>
      <c r="E70" s="15" t="s">
        <v>1108</v>
      </c>
      <c r="F70" s="15" t="s">
        <v>1172</v>
      </c>
      <c r="G70" s="15" t="s">
        <v>131</v>
      </c>
      <c r="H70" s="15" t="s">
        <v>335</v>
      </c>
      <c r="I70" s="15" t="s">
        <v>1188</v>
      </c>
    </row>
    <row r="71" customFormat="false" ht="57.45" hidden="false" customHeight="false" outlineLevel="0" collapsed="false">
      <c r="A71" s="15" t="s">
        <v>397</v>
      </c>
      <c r="B71" s="15" t="s">
        <v>1096</v>
      </c>
      <c r="C71" s="15" t="s">
        <v>1182</v>
      </c>
      <c r="D71" s="15" t="s">
        <v>372</v>
      </c>
      <c r="E71" s="15" t="s">
        <v>1120</v>
      </c>
      <c r="F71" s="15" t="s">
        <v>1172</v>
      </c>
      <c r="G71" s="15" t="s">
        <v>131</v>
      </c>
      <c r="H71" s="15" t="s">
        <v>335</v>
      </c>
      <c r="I71" s="15" t="s">
        <v>1189</v>
      </c>
    </row>
    <row r="72" customFormat="false" ht="57.45" hidden="false" customHeight="false" outlineLevel="0" collapsed="false">
      <c r="A72" s="15" t="s">
        <v>400</v>
      </c>
      <c r="B72" s="15" t="s">
        <v>1096</v>
      </c>
      <c r="C72" s="15" t="s">
        <v>1097</v>
      </c>
      <c r="D72" s="15" t="s">
        <v>93</v>
      </c>
      <c r="E72" s="15" t="s">
        <v>1120</v>
      </c>
      <c r="F72" s="15" t="s">
        <v>1172</v>
      </c>
      <c r="G72" s="15" t="s">
        <v>131</v>
      </c>
      <c r="H72" s="15" t="s">
        <v>335</v>
      </c>
      <c r="I72" s="15" t="s">
        <v>1190</v>
      </c>
    </row>
    <row r="73" customFormat="false" ht="57.45" hidden="false" customHeight="false" outlineLevel="0" collapsed="false">
      <c r="A73" s="15" t="s">
        <v>403</v>
      </c>
      <c r="B73" s="15" t="s">
        <v>1096</v>
      </c>
      <c r="C73" s="15" t="s">
        <v>1123</v>
      </c>
      <c r="D73" s="15" t="s">
        <v>158</v>
      </c>
      <c r="E73" s="15" t="s">
        <v>1125</v>
      </c>
      <c r="F73" s="15" t="s">
        <v>1172</v>
      </c>
      <c r="G73" s="15" t="s">
        <v>156</v>
      </c>
      <c r="H73" s="15" t="s">
        <v>335</v>
      </c>
      <c r="I73" s="15" t="s">
        <v>1191</v>
      </c>
    </row>
    <row r="74" customFormat="false" ht="68.65" hidden="false" customHeight="false" outlineLevel="0" collapsed="false">
      <c r="A74" s="15" t="s">
        <v>409</v>
      </c>
      <c r="B74" s="15" t="s">
        <v>1096</v>
      </c>
      <c r="C74" s="15" t="s">
        <v>1123</v>
      </c>
      <c r="D74" s="15" t="s">
        <v>158</v>
      </c>
      <c r="E74" s="15" t="s">
        <v>1101</v>
      </c>
      <c r="F74" s="15" t="s">
        <v>1172</v>
      </c>
      <c r="G74" s="15" t="s">
        <v>156</v>
      </c>
      <c r="H74" s="15" t="s">
        <v>335</v>
      </c>
      <c r="I74" s="15" t="s">
        <v>1192</v>
      </c>
    </row>
    <row r="75" customFormat="false" ht="57.45" hidden="false" customHeight="false" outlineLevel="0" collapsed="false">
      <c r="A75" s="15" t="s">
        <v>414</v>
      </c>
      <c r="B75" s="15" t="s">
        <v>1096</v>
      </c>
      <c r="C75" s="15" t="s">
        <v>1123</v>
      </c>
      <c r="D75" s="15" t="s">
        <v>158</v>
      </c>
      <c r="E75" s="15" t="s">
        <v>1120</v>
      </c>
      <c r="F75" s="15" t="s">
        <v>1172</v>
      </c>
      <c r="G75" s="15" t="s">
        <v>156</v>
      </c>
      <c r="H75" s="15" t="s">
        <v>335</v>
      </c>
      <c r="I75" s="15" t="s">
        <v>1193</v>
      </c>
    </row>
    <row r="76" customFormat="false" ht="57.45" hidden="false" customHeight="false" outlineLevel="0" collapsed="false">
      <c r="A76" s="15" t="s">
        <v>417</v>
      </c>
      <c r="B76" s="15" t="s">
        <v>1096</v>
      </c>
      <c r="C76" s="15" t="s">
        <v>1123</v>
      </c>
      <c r="D76" s="15" t="s">
        <v>158</v>
      </c>
      <c r="E76" s="15" t="s">
        <v>1108</v>
      </c>
      <c r="F76" s="15" t="s">
        <v>1172</v>
      </c>
      <c r="G76" s="15" t="s">
        <v>156</v>
      </c>
      <c r="H76" s="15" t="s">
        <v>335</v>
      </c>
      <c r="I76" s="15" t="s">
        <v>1194</v>
      </c>
    </row>
    <row r="77" customFormat="false" ht="57.45" hidden="false" customHeight="false" outlineLevel="0" collapsed="false">
      <c r="A77" s="15" t="s">
        <v>420</v>
      </c>
      <c r="B77" s="15" t="s">
        <v>1096</v>
      </c>
      <c r="C77" s="15" t="s">
        <v>1123</v>
      </c>
      <c r="D77" s="15" t="s">
        <v>158</v>
      </c>
      <c r="E77" s="15" t="s">
        <v>1144</v>
      </c>
      <c r="F77" s="15" t="s">
        <v>1172</v>
      </c>
      <c r="G77" s="15" t="s">
        <v>156</v>
      </c>
      <c r="H77" s="15" t="s">
        <v>335</v>
      </c>
      <c r="I77" s="15" t="s">
        <v>1195</v>
      </c>
    </row>
    <row r="78" customFormat="false" ht="57.45" hidden="false" customHeight="false" outlineLevel="0" collapsed="false">
      <c r="A78" s="15" t="s">
        <v>425</v>
      </c>
      <c r="B78" s="15" t="s">
        <v>1096</v>
      </c>
      <c r="C78" s="15" t="s">
        <v>1123</v>
      </c>
      <c r="D78" s="15" t="s">
        <v>158</v>
      </c>
      <c r="E78" s="15" t="s">
        <v>1144</v>
      </c>
      <c r="F78" s="15" t="s">
        <v>1172</v>
      </c>
      <c r="G78" s="15" t="s">
        <v>156</v>
      </c>
      <c r="H78" s="15" t="s">
        <v>335</v>
      </c>
      <c r="I78" s="15" t="s">
        <v>1196</v>
      </c>
    </row>
    <row r="79" customFormat="false" ht="57.45" hidden="false" customHeight="false" outlineLevel="0" collapsed="false">
      <c r="A79" s="15" t="s">
        <v>428</v>
      </c>
      <c r="B79" s="15" t="s">
        <v>1096</v>
      </c>
      <c r="C79" s="15" t="s">
        <v>1132</v>
      </c>
      <c r="D79" s="15" t="s">
        <v>186</v>
      </c>
      <c r="E79" s="15" t="s">
        <v>1101</v>
      </c>
      <c r="F79" s="15" t="s">
        <v>1172</v>
      </c>
      <c r="G79" s="15" t="s">
        <v>184</v>
      </c>
      <c r="H79" s="15" t="s">
        <v>335</v>
      </c>
      <c r="I79" s="15" t="s">
        <v>1197</v>
      </c>
    </row>
    <row r="80" customFormat="false" ht="57.45" hidden="false" customHeight="false" outlineLevel="0" collapsed="false">
      <c r="A80" s="15" t="s">
        <v>435</v>
      </c>
      <c r="B80" s="15" t="s">
        <v>1096</v>
      </c>
      <c r="C80" s="15" t="s">
        <v>1132</v>
      </c>
      <c r="D80" s="15" t="s">
        <v>186</v>
      </c>
      <c r="E80" s="15" t="s">
        <v>1104</v>
      </c>
      <c r="F80" s="15" t="s">
        <v>1172</v>
      </c>
      <c r="G80" s="15" t="s">
        <v>184</v>
      </c>
      <c r="H80" s="15" t="s">
        <v>335</v>
      </c>
      <c r="I80" s="15" t="s">
        <v>1198</v>
      </c>
    </row>
    <row r="81" customFormat="false" ht="57.45" hidden="false" customHeight="false" outlineLevel="0" collapsed="false">
      <c r="A81" s="15" t="s">
        <v>440</v>
      </c>
      <c r="B81" s="15" t="s">
        <v>1096</v>
      </c>
      <c r="C81" s="15" t="s">
        <v>1132</v>
      </c>
      <c r="D81" s="15" t="s">
        <v>186</v>
      </c>
      <c r="E81" s="15" t="s">
        <v>1104</v>
      </c>
      <c r="F81" s="15" t="s">
        <v>1172</v>
      </c>
      <c r="G81" s="15" t="s">
        <v>184</v>
      </c>
      <c r="H81" s="15" t="s">
        <v>335</v>
      </c>
      <c r="I81" s="15" t="s">
        <v>1199</v>
      </c>
    </row>
    <row r="82" customFormat="false" ht="57.45" hidden="false" customHeight="false" outlineLevel="0" collapsed="false">
      <c r="A82" s="15" t="s">
        <v>443</v>
      </c>
      <c r="B82" s="15" t="s">
        <v>1096</v>
      </c>
      <c r="C82" s="15" t="s">
        <v>1132</v>
      </c>
      <c r="D82" s="15" t="s">
        <v>186</v>
      </c>
      <c r="E82" s="15" t="s">
        <v>1108</v>
      </c>
      <c r="F82" s="15" t="s">
        <v>1172</v>
      </c>
      <c r="G82" s="15" t="s">
        <v>184</v>
      </c>
      <c r="H82" s="15" t="s">
        <v>335</v>
      </c>
      <c r="I82" s="15" t="s">
        <v>1200</v>
      </c>
    </row>
    <row r="83" customFormat="false" ht="57.45" hidden="false" customHeight="false" outlineLevel="0" collapsed="false">
      <c r="A83" s="15" t="s">
        <v>446</v>
      </c>
      <c r="B83" s="15" t="s">
        <v>1096</v>
      </c>
      <c r="C83" s="15" t="s">
        <v>1132</v>
      </c>
      <c r="D83" s="15" t="s">
        <v>186</v>
      </c>
      <c r="E83" s="15" t="s">
        <v>1144</v>
      </c>
      <c r="F83" s="15" t="s">
        <v>1172</v>
      </c>
      <c r="G83" s="15" t="s">
        <v>184</v>
      </c>
      <c r="H83" s="15" t="s">
        <v>335</v>
      </c>
      <c r="I83" s="15" t="s">
        <v>1201</v>
      </c>
    </row>
    <row r="84" customFormat="false" ht="57.45" hidden="false" customHeight="false" outlineLevel="0" collapsed="false">
      <c r="A84" s="15" t="s">
        <v>451</v>
      </c>
      <c r="B84" s="15" t="s">
        <v>1096</v>
      </c>
      <c r="C84" s="15" t="s">
        <v>1119</v>
      </c>
      <c r="D84" s="15" t="s">
        <v>148</v>
      </c>
      <c r="E84" s="15" t="s">
        <v>1120</v>
      </c>
      <c r="F84" s="15" t="s">
        <v>1172</v>
      </c>
      <c r="G84" s="15" t="s">
        <v>184</v>
      </c>
      <c r="H84" s="15" t="s">
        <v>335</v>
      </c>
      <c r="I84" s="15" t="s">
        <v>1202</v>
      </c>
    </row>
    <row r="85" customFormat="false" ht="68.65" hidden="false" customHeight="false" outlineLevel="0" collapsed="false">
      <c r="A85" s="15" t="s">
        <v>454</v>
      </c>
      <c r="B85" s="15" t="s">
        <v>1096</v>
      </c>
      <c r="C85" s="15" t="s">
        <v>1203</v>
      </c>
      <c r="D85" s="15" t="s">
        <v>455</v>
      </c>
      <c r="E85" s="15" t="s">
        <v>1159</v>
      </c>
      <c r="F85" s="15" t="s">
        <v>1204</v>
      </c>
      <c r="G85" s="15" t="s">
        <v>78</v>
      </c>
      <c r="H85" s="15" t="s">
        <v>459</v>
      </c>
      <c r="I85" s="15" t="s">
        <v>1205</v>
      </c>
    </row>
    <row r="86" customFormat="false" ht="57.45" hidden="false" customHeight="false" outlineLevel="0" collapsed="false">
      <c r="A86" s="15" t="s">
        <v>462</v>
      </c>
      <c r="B86" s="15" t="s">
        <v>1096</v>
      </c>
      <c r="C86" s="15" t="s">
        <v>1203</v>
      </c>
      <c r="D86" s="15" t="s">
        <v>455</v>
      </c>
      <c r="E86" s="15" t="s">
        <v>1120</v>
      </c>
      <c r="F86" s="15" t="s">
        <v>1204</v>
      </c>
      <c r="G86" s="15" t="s">
        <v>78</v>
      </c>
      <c r="H86" s="15" t="s">
        <v>459</v>
      </c>
      <c r="I86" s="15" t="s">
        <v>1206</v>
      </c>
    </row>
    <row r="87" customFormat="false" ht="57.45" hidden="false" customHeight="false" outlineLevel="0" collapsed="false">
      <c r="A87" s="15" t="s">
        <v>467</v>
      </c>
      <c r="B87" s="15" t="s">
        <v>1096</v>
      </c>
      <c r="C87" s="15" t="s">
        <v>1138</v>
      </c>
      <c r="D87" s="15" t="s">
        <v>208</v>
      </c>
      <c r="E87" s="15" t="s">
        <v>1120</v>
      </c>
      <c r="F87" s="15" t="s">
        <v>1204</v>
      </c>
      <c r="G87" s="15" t="s">
        <v>78</v>
      </c>
      <c r="H87" s="15" t="s">
        <v>459</v>
      </c>
      <c r="I87" s="15" t="s">
        <v>1207</v>
      </c>
    </row>
    <row r="88" customFormat="false" ht="57.45" hidden="false" customHeight="false" outlineLevel="0" collapsed="false">
      <c r="A88" s="15" t="s">
        <v>470</v>
      </c>
      <c r="B88" s="15" t="s">
        <v>1096</v>
      </c>
      <c r="C88" s="15" t="s">
        <v>1103</v>
      </c>
      <c r="D88" s="15" t="s">
        <v>80</v>
      </c>
      <c r="E88" s="15" t="s">
        <v>1108</v>
      </c>
      <c r="F88" s="15" t="s">
        <v>1204</v>
      </c>
      <c r="G88" s="15" t="s">
        <v>78</v>
      </c>
      <c r="H88" s="15" t="s">
        <v>459</v>
      </c>
      <c r="I88" s="15" t="s">
        <v>1208</v>
      </c>
    </row>
    <row r="89" customFormat="false" ht="57.45" hidden="false" customHeight="false" outlineLevel="0" collapsed="false">
      <c r="A89" s="15" t="s">
        <v>472</v>
      </c>
      <c r="B89" s="15" t="s">
        <v>1096</v>
      </c>
      <c r="C89" s="15" t="s">
        <v>1103</v>
      </c>
      <c r="D89" s="15" t="s">
        <v>80</v>
      </c>
      <c r="E89" s="15" t="s">
        <v>1108</v>
      </c>
      <c r="F89" s="15" t="s">
        <v>1204</v>
      </c>
      <c r="G89" s="15" t="s">
        <v>78</v>
      </c>
      <c r="H89" s="15" t="s">
        <v>459</v>
      </c>
      <c r="I89" s="15" t="s">
        <v>1209</v>
      </c>
    </row>
    <row r="90" customFormat="false" ht="57.45" hidden="false" customHeight="false" outlineLevel="0" collapsed="false">
      <c r="A90" s="15" t="s">
        <v>477</v>
      </c>
      <c r="B90" s="15" t="s">
        <v>1096</v>
      </c>
      <c r="C90" s="15" t="s">
        <v>1103</v>
      </c>
      <c r="D90" s="15" t="s">
        <v>80</v>
      </c>
      <c r="E90" s="15" t="s">
        <v>1144</v>
      </c>
      <c r="F90" s="15" t="s">
        <v>1204</v>
      </c>
      <c r="G90" s="15" t="s">
        <v>78</v>
      </c>
      <c r="H90" s="15" t="s">
        <v>459</v>
      </c>
      <c r="I90" s="15" t="s">
        <v>1210</v>
      </c>
    </row>
    <row r="91" customFormat="false" ht="57.45" hidden="false" customHeight="false" outlineLevel="0" collapsed="false">
      <c r="A91" s="15" t="s">
        <v>480</v>
      </c>
      <c r="B91" s="15" t="s">
        <v>1096</v>
      </c>
      <c r="C91" s="15" t="s">
        <v>1203</v>
      </c>
      <c r="D91" s="15" t="s">
        <v>455</v>
      </c>
      <c r="E91" s="15" t="s">
        <v>1211</v>
      </c>
      <c r="F91" s="15" t="s">
        <v>1204</v>
      </c>
      <c r="G91" s="15" t="s">
        <v>109</v>
      </c>
      <c r="H91" s="15" t="s">
        <v>459</v>
      </c>
      <c r="I91" s="15" t="s">
        <v>1212</v>
      </c>
    </row>
    <row r="92" customFormat="false" ht="57.45" hidden="false" customHeight="false" outlineLevel="0" collapsed="false">
      <c r="A92" s="15" t="s">
        <v>486</v>
      </c>
      <c r="B92" s="15" t="s">
        <v>1096</v>
      </c>
      <c r="C92" s="15" t="s">
        <v>1203</v>
      </c>
      <c r="D92" s="15" t="s">
        <v>455</v>
      </c>
      <c r="E92" s="15" t="s">
        <v>1114</v>
      </c>
      <c r="F92" s="15" t="s">
        <v>1204</v>
      </c>
      <c r="G92" s="15" t="s">
        <v>109</v>
      </c>
      <c r="H92" s="15" t="s">
        <v>459</v>
      </c>
      <c r="I92" s="15" t="s">
        <v>1213</v>
      </c>
    </row>
    <row r="93" customFormat="false" ht="57.45" hidden="false" customHeight="false" outlineLevel="0" collapsed="false">
      <c r="A93" s="15" t="s">
        <v>491</v>
      </c>
      <c r="B93" s="15" t="s">
        <v>1096</v>
      </c>
      <c r="C93" s="15" t="s">
        <v>1203</v>
      </c>
      <c r="D93" s="15" t="s">
        <v>455</v>
      </c>
      <c r="E93" s="15" t="s">
        <v>1108</v>
      </c>
      <c r="F93" s="15" t="s">
        <v>1204</v>
      </c>
      <c r="G93" s="15" t="s">
        <v>109</v>
      </c>
      <c r="H93" s="15" t="s">
        <v>459</v>
      </c>
      <c r="I93" s="15" t="s">
        <v>1214</v>
      </c>
    </row>
    <row r="94" customFormat="false" ht="57.45" hidden="false" customHeight="false" outlineLevel="0" collapsed="false">
      <c r="A94" s="15" t="s">
        <v>496</v>
      </c>
      <c r="B94" s="15" t="s">
        <v>1096</v>
      </c>
      <c r="C94" s="15" t="s">
        <v>1203</v>
      </c>
      <c r="D94" s="15" t="s">
        <v>455</v>
      </c>
      <c r="E94" s="15" t="s">
        <v>1120</v>
      </c>
      <c r="F94" s="15" t="s">
        <v>1204</v>
      </c>
      <c r="G94" s="15" t="s">
        <v>109</v>
      </c>
      <c r="H94" s="15" t="s">
        <v>459</v>
      </c>
      <c r="I94" s="15" t="s">
        <v>1215</v>
      </c>
    </row>
    <row r="95" customFormat="false" ht="57.45" hidden="false" customHeight="false" outlineLevel="0" collapsed="false">
      <c r="A95" s="15" t="s">
        <v>498</v>
      </c>
      <c r="B95" s="15" t="s">
        <v>1096</v>
      </c>
      <c r="C95" s="15" t="s">
        <v>1119</v>
      </c>
      <c r="D95" s="15" t="s">
        <v>148</v>
      </c>
      <c r="E95" s="15" t="s">
        <v>1144</v>
      </c>
      <c r="F95" s="15" t="s">
        <v>1204</v>
      </c>
      <c r="G95" s="15" t="s">
        <v>109</v>
      </c>
      <c r="H95" s="15" t="s">
        <v>459</v>
      </c>
      <c r="I95" s="15" t="s">
        <v>1216</v>
      </c>
    </row>
    <row r="96" customFormat="false" ht="57.45" hidden="false" customHeight="false" outlineLevel="0" collapsed="false">
      <c r="A96" s="15" t="s">
        <v>501</v>
      </c>
      <c r="B96" s="15" t="s">
        <v>1096</v>
      </c>
      <c r="C96" s="15" t="s">
        <v>1217</v>
      </c>
      <c r="D96" s="15" t="s">
        <v>502</v>
      </c>
      <c r="E96" s="15" t="s">
        <v>1125</v>
      </c>
      <c r="F96" s="15" t="s">
        <v>1204</v>
      </c>
      <c r="G96" s="15" t="s">
        <v>131</v>
      </c>
      <c r="H96" s="15" t="s">
        <v>459</v>
      </c>
      <c r="I96" s="15" t="s">
        <v>1218</v>
      </c>
    </row>
    <row r="97" customFormat="false" ht="57.45" hidden="false" customHeight="false" outlineLevel="0" collapsed="false">
      <c r="A97" s="15" t="s">
        <v>506</v>
      </c>
      <c r="B97" s="15" t="s">
        <v>1096</v>
      </c>
      <c r="C97" s="15" t="s">
        <v>1217</v>
      </c>
      <c r="D97" s="15" t="s">
        <v>502</v>
      </c>
      <c r="E97" s="15" t="s">
        <v>1104</v>
      </c>
      <c r="F97" s="15" t="s">
        <v>1204</v>
      </c>
      <c r="G97" s="15" t="s">
        <v>131</v>
      </c>
      <c r="H97" s="15" t="s">
        <v>459</v>
      </c>
      <c r="I97" s="15" t="s">
        <v>1219</v>
      </c>
    </row>
    <row r="98" customFormat="false" ht="57.45" hidden="false" customHeight="false" outlineLevel="0" collapsed="false">
      <c r="A98" s="15" t="s">
        <v>510</v>
      </c>
      <c r="B98" s="15" t="s">
        <v>1096</v>
      </c>
      <c r="C98" s="15" t="s">
        <v>1217</v>
      </c>
      <c r="D98" s="15" t="s">
        <v>502</v>
      </c>
      <c r="E98" s="15" t="s">
        <v>1104</v>
      </c>
      <c r="F98" s="15" t="s">
        <v>1204</v>
      </c>
      <c r="G98" s="15" t="s">
        <v>131</v>
      </c>
      <c r="H98" s="15" t="s">
        <v>459</v>
      </c>
      <c r="I98" s="15" t="s">
        <v>1220</v>
      </c>
    </row>
    <row r="99" customFormat="false" ht="57.45" hidden="false" customHeight="false" outlineLevel="0" collapsed="false">
      <c r="A99" s="15" t="s">
        <v>513</v>
      </c>
      <c r="B99" s="15" t="s">
        <v>1096</v>
      </c>
      <c r="C99" s="15" t="s">
        <v>1217</v>
      </c>
      <c r="D99" s="15" t="s">
        <v>502</v>
      </c>
      <c r="E99" s="15" t="s">
        <v>1120</v>
      </c>
      <c r="F99" s="15" t="s">
        <v>1204</v>
      </c>
      <c r="G99" s="15" t="s">
        <v>131</v>
      </c>
      <c r="H99" s="15" t="s">
        <v>459</v>
      </c>
      <c r="I99" s="15" t="s">
        <v>1221</v>
      </c>
    </row>
    <row r="100" customFormat="false" ht="57.45" hidden="false" customHeight="false" outlineLevel="0" collapsed="false">
      <c r="A100" s="15" t="s">
        <v>518</v>
      </c>
      <c r="B100" s="15" t="s">
        <v>1096</v>
      </c>
      <c r="C100" s="15" t="s">
        <v>1217</v>
      </c>
      <c r="D100" s="15" t="s">
        <v>502</v>
      </c>
      <c r="E100" s="15" t="s">
        <v>1120</v>
      </c>
      <c r="F100" s="15" t="s">
        <v>1204</v>
      </c>
      <c r="G100" s="15" t="s">
        <v>131</v>
      </c>
      <c r="H100" s="15" t="s">
        <v>459</v>
      </c>
      <c r="I100" s="15" t="s">
        <v>1222</v>
      </c>
    </row>
    <row r="101" customFormat="false" ht="57.45" hidden="false" customHeight="false" outlineLevel="0" collapsed="false">
      <c r="A101" s="15" t="s">
        <v>520</v>
      </c>
      <c r="B101" s="15" t="s">
        <v>1096</v>
      </c>
      <c r="C101" s="15" t="s">
        <v>1097</v>
      </c>
      <c r="D101" s="15" t="s">
        <v>93</v>
      </c>
      <c r="E101" s="15" t="s">
        <v>1144</v>
      </c>
      <c r="F101" s="15" t="s">
        <v>1204</v>
      </c>
      <c r="G101" s="15" t="s">
        <v>131</v>
      </c>
      <c r="H101" s="15" t="s">
        <v>459</v>
      </c>
      <c r="I101" s="15" t="s">
        <v>1223</v>
      </c>
    </row>
    <row r="102" customFormat="false" ht="68.65" hidden="false" customHeight="false" outlineLevel="0" collapsed="false">
      <c r="A102" s="15" t="s">
        <v>522</v>
      </c>
      <c r="B102" s="15" t="s">
        <v>1096</v>
      </c>
      <c r="C102" s="15" t="s">
        <v>1129</v>
      </c>
      <c r="D102" s="15" t="s">
        <v>176</v>
      </c>
      <c r="E102" s="15" t="s">
        <v>1159</v>
      </c>
      <c r="F102" s="15" t="s">
        <v>1204</v>
      </c>
      <c r="G102" s="15" t="s">
        <v>156</v>
      </c>
      <c r="H102" s="15" t="s">
        <v>459</v>
      </c>
      <c r="I102" s="15" t="s">
        <v>1224</v>
      </c>
    </row>
    <row r="103" customFormat="false" ht="57.45" hidden="false" customHeight="false" outlineLevel="0" collapsed="false">
      <c r="A103" s="15" t="s">
        <v>529</v>
      </c>
      <c r="B103" s="15" t="s">
        <v>1096</v>
      </c>
      <c r="C103" s="15" t="s">
        <v>1129</v>
      </c>
      <c r="D103" s="15" t="s">
        <v>176</v>
      </c>
      <c r="E103" s="15" t="s">
        <v>1108</v>
      </c>
      <c r="F103" s="15" t="s">
        <v>1204</v>
      </c>
      <c r="G103" s="15" t="s">
        <v>156</v>
      </c>
      <c r="H103" s="15" t="s">
        <v>459</v>
      </c>
      <c r="I103" s="15" t="s">
        <v>1225</v>
      </c>
    </row>
    <row r="104" customFormat="false" ht="57.45" hidden="false" customHeight="false" outlineLevel="0" collapsed="false">
      <c r="A104" s="15" t="s">
        <v>532</v>
      </c>
      <c r="B104" s="15" t="s">
        <v>1096</v>
      </c>
      <c r="C104" s="15" t="s">
        <v>1123</v>
      </c>
      <c r="D104" s="15" t="s">
        <v>158</v>
      </c>
      <c r="E104" s="15" t="s">
        <v>1104</v>
      </c>
      <c r="F104" s="15" t="s">
        <v>1204</v>
      </c>
      <c r="G104" s="15" t="s">
        <v>156</v>
      </c>
      <c r="H104" s="15" t="s">
        <v>459</v>
      </c>
      <c r="I104" s="15" t="s">
        <v>1226</v>
      </c>
    </row>
    <row r="105" customFormat="false" ht="57.45" hidden="false" customHeight="false" outlineLevel="0" collapsed="false">
      <c r="A105" s="15" t="s">
        <v>537</v>
      </c>
      <c r="B105" s="15" t="s">
        <v>1096</v>
      </c>
      <c r="C105" s="15" t="s">
        <v>1123</v>
      </c>
      <c r="D105" s="15" t="s">
        <v>158</v>
      </c>
      <c r="E105" s="15" t="s">
        <v>1120</v>
      </c>
      <c r="F105" s="15" t="s">
        <v>1204</v>
      </c>
      <c r="G105" s="15" t="s">
        <v>156</v>
      </c>
      <c r="H105" s="15" t="s">
        <v>459</v>
      </c>
      <c r="I105" s="15" t="s">
        <v>1227</v>
      </c>
    </row>
    <row r="106" customFormat="false" ht="57.45" hidden="false" customHeight="false" outlineLevel="0" collapsed="false">
      <c r="A106" s="15" t="s">
        <v>542</v>
      </c>
      <c r="B106" s="15" t="s">
        <v>1096</v>
      </c>
      <c r="C106" s="15" t="s">
        <v>1129</v>
      </c>
      <c r="D106" s="15" t="s">
        <v>176</v>
      </c>
      <c r="E106" s="15" t="s">
        <v>1144</v>
      </c>
      <c r="F106" s="15" t="s">
        <v>1204</v>
      </c>
      <c r="G106" s="15" t="s">
        <v>156</v>
      </c>
      <c r="H106" s="15" t="s">
        <v>459</v>
      </c>
      <c r="I106" s="15" t="s">
        <v>1228</v>
      </c>
    </row>
    <row r="107" customFormat="false" ht="57.45" hidden="false" customHeight="false" outlineLevel="0" collapsed="false">
      <c r="A107" s="15" t="s">
        <v>545</v>
      </c>
      <c r="B107" s="15" t="s">
        <v>1096</v>
      </c>
      <c r="C107" s="15" t="s">
        <v>1129</v>
      </c>
      <c r="D107" s="15" t="s">
        <v>176</v>
      </c>
      <c r="E107" s="15" t="s">
        <v>1144</v>
      </c>
      <c r="F107" s="15" t="s">
        <v>1204</v>
      </c>
      <c r="G107" s="15" t="s">
        <v>156</v>
      </c>
      <c r="H107" s="15" t="s">
        <v>459</v>
      </c>
      <c r="I107" s="15" t="s">
        <v>1229</v>
      </c>
    </row>
    <row r="108" customFormat="false" ht="57.45" hidden="false" customHeight="false" outlineLevel="0" collapsed="false">
      <c r="A108" s="15" t="s">
        <v>548</v>
      </c>
      <c r="B108" s="15" t="s">
        <v>1096</v>
      </c>
      <c r="C108" s="15" t="s">
        <v>1132</v>
      </c>
      <c r="D108" s="15" t="s">
        <v>186</v>
      </c>
      <c r="E108" s="15" t="s">
        <v>1114</v>
      </c>
      <c r="F108" s="15" t="s">
        <v>1204</v>
      </c>
      <c r="G108" s="15" t="s">
        <v>184</v>
      </c>
      <c r="H108" s="15" t="s">
        <v>459</v>
      </c>
      <c r="I108" s="15" t="s">
        <v>1230</v>
      </c>
    </row>
    <row r="109" customFormat="false" ht="57.45" hidden="false" customHeight="false" outlineLevel="0" collapsed="false">
      <c r="A109" s="15" t="s">
        <v>555</v>
      </c>
      <c r="B109" s="15" t="s">
        <v>1096</v>
      </c>
      <c r="C109" s="15" t="s">
        <v>1132</v>
      </c>
      <c r="D109" s="15" t="s">
        <v>186</v>
      </c>
      <c r="E109" s="15" t="s">
        <v>1104</v>
      </c>
      <c r="F109" s="15" t="s">
        <v>1204</v>
      </c>
      <c r="G109" s="15" t="s">
        <v>184</v>
      </c>
      <c r="H109" s="15" t="s">
        <v>459</v>
      </c>
      <c r="I109" s="15" t="s">
        <v>1231</v>
      </c>
    </row>
    <row r="110" customFormat="false" ht="57.45" hidden="false" customHeight="false" outlineLevel="0" collapsed="false">
      <c r="A110" s="15" t="s">
        <v>560</v>
      </c>
      <c r="B110" s="15" t="s">
        <v>1096</v>
      </c>
      <c r="C110" s="15" t="s">
        <v>1132</v>
      </c>
      <c r="D110" s="15" t="s">
        <v>186</v>
      </c>
      <c r="E110" s="15" t="s">
        <v>1114</v>
      </c>
      <c r="F110" s="15" t="s">
        <v>1204</v>
      </c>
      <c r="G110" s="15" t="s">
        <v>184</v>
      </c>
      <c r="H110" s="15" t="s">
        <v>459</v>
      </c>
      <c r="I110" s="15" t="s">
        <v>1232</v>
      </c>
    </row>
    <row r="111" customFormat="false" ht="57.45" hidden="false" customHeight="false" outlineLevel="0" collapsed="false">
      <c r="A111" s="15" t="s">
        <v>566</v>
      </c>
      <c r="B111" s="15" t="s">
        <v>1096</v>
      </c>
      <c r="C111" s="15" t="s">
        <v>1132</v>
      </c>
      <c r="D111" s="15" t="s">
        <v>186</v>
      </c>
      <c r="E111" s="15" t="s">
        <v>1120</v>
      </c>
      <c r="F111" s="15" t="s">
        <v>1204</v>
      </c>
      <c r="G111" s="15" t="s">
        <v>184</v>
      </c>
      <c r="H111" s="15" t="s">
        <v>459</v>
      </c>
      <c r="I111" s="15" t="s">
        <v>1233</v>
      </c>
    </row>
    <row r="112" customFormat="false" ht="57.45" hidden="false" customHeight="false" outlineLevel="0" collapsed="false">
      <c r="A112" s="15" t="s">
        <v>571</v>
      </c>
      <c r="B112" s="15" t="s">
        <v>1096</v>
      </c>
      <c r="C112" s="15" t="s">
        <v>1132</v>
      </c>
      <c r="D112" s="15" t="s">
        <v>186</v>
      </c>
      <c r="E112" s="15" t="s">
        <v>1234</v>
      </c>
      <c r="F112" s="15" t="s">
        <v>1204</v>
      </c>
      <c r="G112" s="15" t="s">
        <v>184</v>
      </c>
      <c r="H112" s="15" t="s">
        <v>459</v>
      </c>
      <c r="I112" s="15" t="s">
        <v>1235</v>
      </c>
    </row>
    <row r="113" customFormat="false" ht="57.45" hidden="false" customHeight="false" outlineLevel="0" collapsed="false">
      <c r="A113" s="15" t="s">
        <v>576</v>
      </c>
      <c r="B113" s="15" t="s">
        <v>1096</v>
      </c>
      <c r="C113" s="15" t="s">
        <v>1132</v>
      </c>
      <c r="D113" s="15" t="s">
        <v>186</v>
      </c>
      <c r="E113" s="15" t="s">
        <v>1108</v>
      </c>
      <c r="F113" s="15" t="s">
        <v>1204</v>
      </c>
      <c r="G113" s="15" t="s">
        <v>184</v>
      </c>
      <c r="H113" s="15" t="s">
        <v>459</v>
      </c>
      <c r="I113" s="15" t="s">
        <v>1236</v>
      </c>
    </row>
    <row r="114" customFormat="false" ht="57.45" hidden="false" customHeight="false" outlineLevel="0" collapsed="false">
      <c r="A114" s="15" t="s">
        <v>580</v>
      </c>
      <c r="B114" s="15" t="s">
        <v>1096</v>
      </c>
      <c r="C114" s="15" t="s">
        <v>1119</v>
      </c>
      <c r="D114" s="15" t="s">
        <v>148</v>
      </c>
      <c r="E114" s="15" t="s">
        <v>1234</v>
      </c>
      <c r="F114" s="15" t="s">
        <v>1204</v>
      </c>
      <c r="G114" s="15" t="s">
        <v>184</v>
      </c>
      <c r="H114" s="15" t="s">
        <v>459</v>
      </c>
      <c r="I114" s="15" t="s">
        <v>1237</v>
      </c>
    </row>
    <row r="115" customFormat="false" ht="57.45" hidden="false" customHeight="false" outlineLevel="0" collapsed="false">
      <c r="A115" s="15" t="s">
        <v>583</v>
      </c>
      <c r="B115" s="15" t="s">
        <v>1096</v>
      </c>
      <c r="C115" s="15" t="s">
        <v>1238</v>
      </c>
      <c r="D115" s="15" t="s">
        <v>584</v>
      </c>
      <c r="E115" s="15" t="s">
        <v>1104</v>
      </c>
      <c r="F115" s="15" t="s">
        <v>1239</v>
      </c>
      <c r="G115" s="15" t="s">
        <v>78</v>
      </c>
      <c r="H115" s="15" t="s">
        <v>586</v>
      </c>
      <c r="I115" s="15" t="s">
        <v>1240</v>
      </c>
    </row>
    <row r="116" customFormat="false" ht="57.45" hidden="false" customHeight="false" outlineLevel="0" collapsed="false">
      <c r="A116" s="15" t="s">
        <v>589</v>
      </c>
      <c r="B116" s="15" t="s">
        <v>1096</v>
      </c>
      <c r="C116" s="15" t="s">
        <v>1238</v>
      </c>
      <c r="D116" s="15" t="s">
        <v>584</v>
      </c>
      <c r="E116" s="15" t="s">
        <v>1114</v>
      </c>
      <c r="F116" s="15" t="s">
        <v>1239</v>
      </c>
      <c r="G116" s="15" t="s">
        <v>78</v>
      </c>
      <c r="H116" s="15" t="s">
        <v>586</v>
      </c>
      <c r="I116" s="15" t="s">
        <v>1241</v>
      </c>
    </row>
    <row r="117" customFormat="false" ht="57.45" hidden="false" customHeight="false" outlineLevel="0" collapsed="false">
      <c r="A117" s="15" t="s">
        <v>594</v>
      </c>
      <c r="B117" s="15" t="s">
        <v>1096</v>
      </c>
      <c r="C117" s="15" t="s">
        <v>1238</v>
      </c>
      <c r="D117" s="15" t="s">
        <v>584</v>
      </c>
      <c r="E117" s="15" t="s">
        <v>1108</v>
      </c>
      <c r="F117" s="15" t="s">
        <v>1239</v>
      </c>
      <c r="G117" s="15" t="s">
        <v>78</v>
      </c>
      <c r="H117" s="15" t="s">
        <v>586</v>
      </c>
      <c r="I117" s="15" t="s">
        <v>1242</v>
      </c>
    </row>
    <row r="118" customFormat="false" ht="57.45" hidden="false" customHeight="false" outlineLevel="0" collapsed="false">
      <c r="A118" s="15" t="s">
        <v>599</v>
      </c>
      <c r="B118" s="15" t="s">
        <v>1096</v>
      </c>
      <c r="C118" s="15" t="s">
        <v>1238</v>
      </c>
      <c r="D118" s="15" t="s">
        <v>584</v>
      </c>
      <c r="E118" s="15" t="s">
        <v>1120</v>
      </c>
      <c r="F118" s="15" t="s">
        <v>1239</v>
      </c>
      <c r="G118" s="15" t="s">
        <v>78</v>
      </c>
      <c r="H118" s="15" t="s">
        <v>586</v>
      </c>
      <c r="I118" s="15" t="s">
        <v>1243</v>
      </c>
    </row>
    <row r="119" customFormat="false" ht="57.45" hidden="false" customHeight="false" outlineLevel="0" collapsed="false">
      <c r="A119" s="15" t="s">
        <v>604</v>
      </c>
      <c r="B119" s="15" t="s">
        <v>1096</v>
      </c>
      <c r="C119" s="15" t="s">
        <v>1103</v>
      </c>
      <c r="D119" s="15" t="s">
        <v>80</v>
      </c>
      <c r="E119" s="15" t="s">
        <v>1108</v>
      </c>
      <c r="F119" s="15" t="s">
        <v>1239</v>
      </c>
      <c r="G119" s="15" t="s">
        <v>78</v>
      </c>
      <c r="H119" s="15" t="s">
        <v>586</v>
      </c>
      <c r="I119" s="15" t="s">
        <v>1244</v>
      </c>
    </row>
    <row r="120" customFormat="false" ht="57.45" hidden="false" customHeight="false" outlineLevel="0" collapsed="false">
      <c r="A120" s="15" t="s">
        <v>609</v>
      </c>
      <c r="B120" s="15" t="s">
        <v>1096</v>
      </c>
      <c r="C120" s="15" t="s">
        <v>1103</v>
      </c>
      <c r="D120" s="15" t="s">
        <v>80</v>
      </c>
      <c r="E120" s="15" t="s">
        <v>1108</v>
      </c>
      <c r="F120" s="15" t="s">
        <v>1239</v>
      </c>
      <c r="G120" s="15" t="s">
        <v>78</v>
      </c>
      <c r="H120" s="15" t="s">
        <v>586</v>
      </c>
      <c r="I120" s="15" t="s">
        <v>1245</v>
      </c>
    </row>
    <row r="121" customFormat="false" ht="57.45" hidden="false" customHeight="false" outlineLevel="0" collapsed="false">
      <c r="A121" s="15" t="s">
        <v>614</v>
      </c>
      <c r="B121" s="15" t="s">
        <v>1096</v>
      </c>
      <c r="C121" s="15" t="s">
        <v>1112</v>
      </c>
      <c r="D121" s="15" t="s">
        <v>123</v>
      </c>
      <c r="E121" s="15" t="s">
        <v>1211</v>
      </c>
      <c r="F121" s="15" t="s">
        <v>1239</v>
      </c>
      <c r="G121" s="15" t="s">
        <v>109</v>
      </c>
      <c r="H121" s="15" t="s">
        <v>586</v>
      </c>
      <c r="I121" s="15" t="s">
        <v>1246</v>
      </c>
    </row>
    <row r="122" customFormat="false" ht="57.45" hidden="false" customHeight="false" outlineLevel="0" collapsed="false">
      <c r="A122" s="15" t="s">
        <v>619</v>
      </c>
      <c r="B122" s="15" t="s">
        <v>1096</v>
      </c>
      <c r="C122" s="15" t="s">
        <v>1112</v>
      </c>
      <c r="D122" s="15" t="s">
        <v>123</v>
      </c>
      <c r="E122" s="15" t="s">
        <v>1101</v>
      </c>
      <c r="F122" s="15" t="s">
        <v>1239</v>
      </c>
      <c r="G122" s="15" t="s">
        <v>109</v>
      </c>
      <c r="H122" s="15" t="s">
        <v>586</v>
      </c>
      <c r="I122" s="15" t="s">
        <v>1247</v>
      </c>
    </row>
    <row r="123" customFormat="false" ht="57.45" hidden="false" customHeight="false" outlineLevel="0" collapsed="false">
      <c r="A123" s="15" t="s">
        <v>624</v>
      </c>
      <c r="B123" s="15" t="s">
        <v>1096</v>
      </c>
      <c r="C123" s="15" t="s">
        <v>1217</v>
      </c>
      <c r="D123" s="15" t="s">
        <v>502</v>
      </c>
      <c r="E123" s="15" t="s">
        <v>1108</v>
      </c>
      <c r="F123" s="15" t="s">
        <v>1239</v>
      </c>
      <c r="G123" s="15" t="s">
        <v>109</v>
      </c>
      <c r="H123" s="15" t="s">
        <v>586</v>
      </c>
      <c r="I123" s="15" t="s">
        <v>1248</v>
      </c>
    </row>
    <row r="124" customFormat="false" ht="57.45" hidden="false" customHeight="false" outlineLevel="0" collapsed="false">
      <c r="A124" s="15" t="s">
        <v>629</v>
      </c>
      <c r="B124" s="15" t="s">
        <v>1096</v>
      </c>
      <c r="C124" s="15" t="s">
        <v>1112</v>
      </c>
      <c r="D124" s="15" t="s">
        <v>123</v>
      </c>
      <c r="E124" s="15" t="s">
        <v>1108</v>
      </c>
      <c r="F124" s="15" t="s">
        <v>1239</v>
      </c>
      <c r="G124" s="15" t="s">
        <v>109</v>
      </c>
      <c r="H124" s="15" t="s">
        <v>586</v>
      </c>
      <c r="I124" s="15" t="s">
        <v>1249</v>
      </c>
    </row>
    <row r="125" customFormat="false" ht="57.45" hidden="false" customHeight="false" outlineLevel="0" collapsed="false">
      <c r="A125" s="15" t="s">
        <v>632</v>
      </c>
      <c r="B125" s="15" t="s">
        <v>1096</v>
      </c>
      <c r="C125" s="15" t="s">
        <v>1217</v>
      </c>
      <c r="D125" s="15" t="s">
        <v>502</v>
      </c>
      <c r="E125" s="15" t="s">
        <v>1125</v>
      </c>
      <c r="F125" s="15" t="s">
        <v>1239</v>
      </c>
      <c r="G125" s="15" t="s">
        <v>131</v>
      </c>
      <c r="H125" s="15" t="s">
        <v>586</v>
      </c>
      <c r="I125" s="15" t="s">
        <v>1250</v>
      </c>
    </row>
    <row r="126" customFormat="false" ht="57.45" hidden="false" customHeight="false" outlineLevel="0" collapsed="false">
      <c r="A126" s="15" t="s">
        <v>638</v>
      </c>
      <c r="B126" s="15" t="s">
        <v>1096</v>
      </c>
      <c r="C126" s="15" t="s">
        <v>1182</v>
      </c>
      <c r="D126" s="15" t="s">
        <v>372</v>
      </c>
      <c r="E126" s="15" t="s">
        <v>1125</v>
      </c>
      <c r="F126" s="15" t="s">
        <v>1239</v>
      </c>
      <c r="G126" s="15" t="s">
        <v>131</v>
      </c>
      <c r="H126" s="15" t="s">
        <v>586</v>
      </c>
      <c r="I126" s="15" t="s">
        <v>1251</v>
      </c>
    </row>
    <row r="127" customFormat="false" ht="57.45" hidden="false" customHeight="false" outlineLevel="0" collapsed="false">
      <c r="A127" s="15" t="s">
        <v>644</v>
      </c>
      <c r="B127" s="15" t="s">
        <v>1096</v>
      </c>
      <c r="C127" s="15" t="s">
        <v>1182</v>
      </c>
      <c r="D127" s="15" t="s">
        <v>372</v>
      </c>
      <c r="E127" s="15" t="s">
        <v>1120</v>
      </c>
      <c r="F127" s="15" t="s">
        <v>1239</v>
      </c>
      <c r="G127" s="15" t="s">
        <v>131</v>
      </c>
      <c r="H127" s="15" t="s">
        <v>586</v>
      </c>
      <c r="I127" s="15" t="s">
        <v>1252</v>
      </c>
    </row>
    <row r="128" customFormat="false" ht="57.45" hidden="false" customHeight="false" outlineLevel="0" collapsed="false">
      <c r="A128" s="15" t="s">
        <v>649</v>
      </c>
      <c r="B128" s="15" t="s">
        <v>1096</v>
      </c>
      <c r="C128" s="15" t="s">
        <v>1132</v>
      </c>
      <c r="D128" s="15" t="s">
        <v>186</v>
      </c>
      <c r="E128" s="15" t="s">
        <v>1108</v>
      </c>
      <c r="F128" s="15" t="s">
        <v>1239</v>
      </c>
      <c r="G128" s="15" t="s">
        <v>131</v>
      </c>
      <c r="H128" s="15" t="s">
        <v>586</v>
      </c>
      <c r="I128" s="15" t="s">
        <v>1253</v>
      </c>
    </row>
    <row r="129" customFormat="false" ht="57.45" hidden="false" customHeight="false" outlineLevel="0" collapsed="false">
      <c r="A129" s="15" t="s">
        <v>653</v>
      </c>
      <c r="B129" s="15" t="s">
        <v>1096</v>
      </c>
      <c r="C129" s="15" t="s">
        <v>1182</v>
      </c>
      <c r="D129" s="15" t="s">
        <v>372</v>
      </c>
      <c r="E129" s="15" t="s">
        <v>1120</v>
      </c>
      <c r="F129" s="15" t="s">
        <v>1239</v>
      </c>
      <c r="G129" s="15" t="s">
        <v>131</v>
      </c>
      <c r="H129" s="15" t="s">
        <v>586</v>
      </c>
      <c r="I129" s="15" t="s">
        <v>1254</v>
      </c>
    </row>
    <row r="130" customFormat="false" ht="57.45" hidden="false" customHeight="false" outlineLevel="0" collapsed="false">
      <c r="A130" s="15" t="s">
        <v>655</v>
      </c>
      <c r="B130" s="15" t="s">
        <v>1096</v>
      </c>
      <c r="C130" s="15" t="s">
        <v>1129</v>
      </c>
      <c r="D130" s="15" t="s">
        <v>176</v>
      </c>
      <c r="E130" s="15" t="s">
        <v>1211</v>
      </c>
      <c r="F130" s="15" t="s">
        <v>1239</v>
      </c>
      <c r="G130" s="15" t="s">
        <v>156</v>
      </c>
      <c r="H130" s="15" t="s">
        <v>586</v>
      </c>
      <c r="I130" s="15" t="s">
        <v>1255</v>
      </c>
    </row>
    <row r="131" customFormat="false" ht="57.45" hidden="false" customHeight="false" outlineLevel="0" collapsed="false">
      <c r="A131" s="15" t="s">
        <v>662</v>
      </c>
      <c r="B131" s="15" t="s">
        <v>1096</v>
      </c>
      <c r="C131" s="15" t="s">
        <v>1123</v>
      </c>
      <c r="D131" s="15" t="s">
        <v>158</v>
      </c>
      <c r="E131" s="15" t="s">
        <v>1114</v>
      </c>
      <c r="F131" s="15" t="s">
        <v>1239</v>
      </c>
      <c r="G131" s="15" t="s">
        <v>156</v>
      </c>
      <c r="H131" s="15" t="s">
        <v>586</v>
      </c>
      <c r="I131" s="15" t="s">
        <v>1256</v>
      </c>
    </row>
    <row r="132" customFormat="false" ht="57.45" hidden="false" customHeight="false" outlineLevel="0" collapsed="false">
      <c r="A132" s="15" t="s">
        <v>667</v>
      </c>
      <c r="B132" s="15" t="s">
        <v>1096</v>
      </c>
      <c r="C132" s="15" t="s">
        <v>1123</v>
      </c>
      <c r="D132" s="15" t="s">
        <v>158</v>
      </c>
      <c r="E132" s="15" t="s">
        <v>1114</v>
      </c>
      <c r="F132" s="15" t="s">
        <v>1239</v>
      </c>
      <c r="G132" s="15" t="s">
        <v>156</v>
      </c>
      <c r="H132" s="15" t="s">
        <v>586</v>
      </c>
      <c r="I132" s="15" t="s">
        <v>1257</v>
      </c>
    </row>
    <row r="133" customFormat="false" ht="57.45" hidden="false" customHeight="false" outlineLevel="0" collapsed="false">
      <c r="A133" s="15" t="s">
        <v>670</v>
      </c>
      <c r="B133" s="15" t="s">
        <v>1096</v>
      </c>
      <c r="C133" s="15" t="s">
        <v>1129</v>
      </c>
      <c r="D133" s="15" t="s">
        <v>176</v>
      </c>
      <c r="E133" s="15" t="s">
        <v>1120</v>
      </c>
      <c r="F133" s="15" t="s">
        <v>1239</v>
      </c>
      <c r="G133" s="15" t="s">
        <v>156</v>
      </c>
      <c r="H133" s="15" t="s">
        <v>586</v>
      </c>
      <c r="I133" s="15" t="s">
        <v>1258</v>
      </c>
    </row>
    <row r="134" customFormat="false" ht="57.45" hidden="false" customHeight="false" outlineLevel="0" collapsed="false">
      <c r="A134" s="15" t="s">
        <v>673</v>
      </c>
      <c r="B134" s="15" t="s">
        <v>1096</v>
      </c>
      <c r="C134" s="15" t="s">
        <v>1132</v>
      </c>
      <c r="D134" s="15" t="s">
        <v>186</v>
      </c>
      <c r="E134" s="15" t="s">
        <v>1104</v>
      </c>
      <c r="F134" s="15" t="s">
        <v>1239</v>
      </c>
      <c r="G134" s="15" t="s">
        <v>184</v>
      </c>
      <c r="H134" s="15" t="s">
        <v>586</v>
      </c>
      <c r="I134" s="15" t="s">
        <v>1259</v>
      </c>
    </row>
    <row r="135" customFormat="false" ht="57.45" hidden="false" customHeight="false" outlineLevel="0" collapsed="false">
      <c r="A135" s="15" t="s">
        <v>680</v>
      </c>
      <c r="B135" s="15" t="s">
        <v>1096</v>
      </c>
      <c r="C135" s="15" t="s">
        <v>1132</v>
      </c>
      <c r="D135" s="15" t="s">
        <v>186</v>
      </c>
      <c r="E135" s="15" t="s">
        <v>1120</v>
      </c>
      <c r="F135" s="15" t="s">
        <v>1239</v>
      </c>
      <c r="G135" s="15" t="s">
        <v>184</v>
      </c>
      <c r="H135" s="15" t="s">
        <v>586</v>
      </c>
      <c r="I135" s="15" t="s">
        <v>1260</v>
      </c>
    </row>
    <row r="136" customFormat="false" ht="57.45" hidden="false" customHeight="false" outlineLevel="0" collapsed="false">
      <c r="A136" s="15" t="s">
        <v>683</v>
      </c>
      <c r="B136" s="15" t="s">
        <v>1096</v>
      </c>
      <c r="C136" s="15" t="s">
        <v>1132</v>
      </c>
      <c r="D136" s="15" t="s">
        <v>186</v>
      </c>
      <c r="E136" s="15" t="s">
        <v>1108</v>
      </c>
      <c r="F136" s="15" t="s">
        <v>1239</v>
      </c>
      <c r="G136" s="15" t="s">
        <v>184</v>
      </c>
      <c r="H136" s="15" t="s">
        <v>586</v>
      </c>
      <c r="I136" s="15" t="s">
        <v>1261</v>
      </c>
    </row>
    <row r="137" customFormat="false" ht="57.45" hidden="false" customHeight="false" outlineLevel="0" collapsed="false">
      <c r="A137" s="15" t="s">
        <v>686</v>
      </c>
      <c r="B137" s="15" t="s">
        <v>1096</v>
      </c>
      <c r="C137" s="15" t="s">
        <v>1132</v>
      </c>
      <c r="D137" s="15" t="s">
        <v>186</v>
      </c>
      <c r="E137" s="15" t="s">
        <v>1114</v>
      </c>
      <c r="F137" s="15" t="s">
        <v>1239</v>
      </c>
      <c r="G137" s="15" t="s">
        <v>184</v>
      </c>
      <c r="H137" s="15" t="s">
        <v>586</v>
      </c>
      <c r="I137" s="15" t="s">
        <v>1262</v>
      </c>
    </row>
    <row r="138" customFormat="false" ht="57.45" hidden="false" customHeight="false" outlineLevel="0" collapsed="false">
      <c r="A138" s="15" t="s">
        <v>692</v>
      </c>
      <c r="B138" s="15" t="s">
        <v>1096</v>
      </c>
      <c r="C138" s="15" t="s">
        <v>1132</v>
      </c>
      <c r="D138" s="15" t="s">
        <v>186</v>
      </c>
      <c r="E138" s="15" t="s">
        <v>1114</v>
      </c>
      <c r="F138" s="15" t="s">
        <v>1239</v>
      </c>
      <c r="G138" s="15" t="s">
        <v>184</v>
      </c>
      <c r="H138" s="15" t="s">
        <v>586</v>
      </c>
      <c r="I138" s="15" t="s">
        <v>1263</v>
      </c>
    </row>
    <row r="139" customFormat="false" ht="57.45" hidden="false" customHeight="false" outlineLevel="0" collapsed="false">
      <c r="A139" s="15" t="s">
        <v>697</v>
      </c>
      <c r="B139" s="15" t="s">
        <v>1096</v>
      </c>
      <c r="C139" s="15" t="s">
        <v>1119</v>
      </c>
      <c r="D139" s="15" t="s">
        <v>148</v>
      </c>
      <c r="E139" s="15" t="s">
        <v>1144</v>
      </c>
      <c r="F139" s="15" t="s">
        <v>1239</v>
      </c>
      <c r="G139" s="15" t="s">
        <v>184</v>
      </c>
      <c r="H139" s="15" t="s">
        <v>586</v>
      </c>
      <c r="I139" s="15" t="s">
        <v>1264</v>
      </c>
    </row>
    <row r="140" customFormat="false" ht="57.45" hidden="false" customHeight="false" outlineLevel="0" collapsed="false">
      <c r="A140" s="15" t="s">
        <v>700</v>
      </c>
      <c r="B140" s="15" t="s">
        <v>1096</v>
      </c>
      <c r="C140" s="15" t="s">
        <v>1265</v>
      </c>
      <c r="D140" s="15" t="s">
        <v>701</v>
      </c>
      <c r="E140" s="15" t="s">
        <v>1266</v>
      </c>
      <c r="F140" s="15" t="s">
        <v>1267</v>
      </c>
      <c r="G140" s="15" t="s">
        <v>78</v>
      </c>
      <c r="H140" s="15" t="s">
        <v>704</v>
      </c>
      <c r="I140" s="15" t="s">
        <v>1268</v>
      </c>
    </row>
    <row r="141" customFormat="false" ht="57.45" hidden="false" customHeight="false" outlineLevel="0" collapsed="false">
      <c r="A141" s="15" t="s">
        <v>708</v>
      </c>
      <c r="B141" s="15" t="s">
        <v>1096</v>
      </c>
      <c r="C141" s="15" t="s">
        <v>1265</v>
      </c>
      <c r="D141" s="15" t="s">
        <v>701</v>
      </c>
      <c r="E141" s="15" t="s">
        <v>1104</v>
      </c>
      <c r="F141" s="15" t="s">
        <v>1267</v>
      </c>
      <c r="G141" s="15" t="s">
        <v>78</v>
      </c>
      <c r="H141" s="15" t="s">
        <v>704</v>
      </c>
      <c r="I141" s="15" t="s">
        <v>1269</v>
      </c>
    </row>
    <row r="142" customFormat="false" ht="57.45" hidden="false" customHeight="false" outlineLevel="0" collapsed="false">
      <c r="A142" s="15" t="s">
        <v>713</v>
      </c>
      <c r="B142" s="15" t="s">
        <v>1096</v>
      </c>
      <c r="C142" s="15" t="s">
        <v>1103</v>
      </c>
      <c r="D142" s="15" t="s">
        <v>80</v>
      </c>
      <c r="E142" s="15" t="s">
        <v>1108</v>
      </c>
      <c r="F142" s="15" t="s">
        <v>1267</v>
      </c>
      <c r="G142" s="15" t="s">
        <v>78</v>
      </c>
      <c r="H142" s="15" t="s">
        <v>704</v>
      </c>
      <c r="I142" s="15" t="s">
        <v>1270</v>
      </c>
    </row>
    <row r="143" customFormat="false" ht="57.45" hidden="false" customHeight="false" outlineLevel="0" collapsed="false">
      <c r="A143" s="15" t="s">
        <v>718</v>
      </c>
      <c r="B143" s="15" t="s">
        <v>1096</v>
      </c>
      <c r="C143" s="15" t="s">
        <v>1238</v>
      </c>
      <c r="D143" s="15" t="s">
        <v>584</v>
      </c>
      <c r="E143" s="15" t="s">
        <v>1108</v>
      </c>
      <c r="F143" s="15" t="s">
        <v>1267</v>
      </c>
      <c r="G143" s="15" t="s">
        <v>78</v>
      </c>
      <c r="H143" s="15" t="s">
        <v>704</v>
      </c>
      <c r="I143" s="15" t="s">
        <v>1271</v>
      </c>
    </row>
    <row r="144" customFormat="false" ht="57.45" hidden="false" customHeight="false" outlineLevel="0" collapsed="false">
      <c r="A144" s="15" t="s">
        <v>723</v>
      </c>
      <c r="B144" s="15" t="s">
        <v>1096</v>
      </c>
      <c r="C144" s="15" t="s">
        <v>1203</v>
      </c>
      <c r="D144" s="15" t="s">
        <v>455</v>
      </c>
      <c r="E144" s="15" t="s">
        <v>1101</v>
      </c>
      <c r="F144" s="15" t="s">
        <v>1267</v>
      </c>
      <c r="G144" s="15" t="s">
        <v>109</v>
      </c>
      <c r="H144" s="15" t="s">
        <v>704</v>
      </c>
      <c r="I144" s="15" t="s">
        <v>1272</v>
      </c>
    </row>
    <row r="145" customFormat="false" ht="57.45" hidden="false" customHeight="false" outlineLevel="0" collapsed="false">
      <c r="A145" s="15" t="s">
        <v>729</v>
      </c>
      <c r="B145" s="15" t="s">
        <v>1096</v>
      </c>
      <c r="C145" s="15" t="s">
        <v>1265</v>
      </c>
      <c r="D145" s="15" t="s">
        <v>701</v>
      </c>
      <c r="E145" s="15" t="s">
        <v>1101</v>
      </c>
      <c r="F145" s="15" t="s">
        <v>1267</v>
      </c>
      <c r="G145" s="15" t="s">
        <v>109</v>
      </c>
      <c r="H145" s="15" t="s">
        <v>704</v>
      </c>
      <c r="I145" s="15" t="s">
        <v>1273</v>
      </c>
    </row>
    <row r="146" customFormat="false" ht="57.45" hidden="false" customHeight="false" outlineLevel="0" collapsed="false">
      <c r="A146" s="15" t="s">
        <v>734</v>
      </c>
      <c r="B146" s="15" t="s">
        <v>1096</v>
      </c>
      <c r="C146" s="15" t="s">
        <v>1112</v>
      </c>
      <c r="D146" s="15" t="s">
        <v>123</v>
      </c>
      <c r="E146" s="15" t="s">
        <v>1125</v>
      </c>
      <c r="F146" s="15" t="s">
        <v>1267</v>
      </c>
      <c r="G146" s="15" t="s">
        <v>109</v>
      </c>
      <c r="H146" s="15" t="s">
        <v>704</v>
      </c>
      <c r="I146" s="15" t="s">
        <v>1274</v>
      </c>
    </row>
    <row r="147" customFormat="false" ht="57.45" hidden="false" customHeight="false" outlineLevel="0" collapsed="false">
      <c r="A147" s="15" t="s">
        <v>737</v>
      </c>
      <c r="B147" s="15" t="s">
        <v>1096</v>
      </c>
      <c r="C147" s="15" t="s">
        <v>1097</v>
      </c>
      <c r="D147" s="15" t="s">
        <v>93</v>
      </c>
      <c r="E147" s="15" t="s">
        <v>1108</v>
      </c>
      <c r="F147" s="15" t="s">
        <v>1267</v>
      </c>
      <c r="G147" s="15" t="s">
        <v>109</v>
      </c>
      <c r="H147" s="15" t="s">
        <v>704</v>
      </c>
      <c r="I147" s="15" t="s">
        <v>1275</v>
      </c>
    </row>
    <row r="148" customFormat="false" ht="57.45" hidden="false" customHeight="false" outlineLevel="0" collapsed="false">
      <c r="A148" s="15" t="s">
        <v>740</v>
      </c>
      <c r="B148" s="15" t="s">
        <v>1096</v>
      </c>
      <c r="C148" s="15" t="s">
        <v>1182</v>
      </c>
      <c r="D148" s="15" t="s">
        <v>372</v>
      </c>
      <c r="E148" s="15" t="s">
        <v>1108</v>
      </c>
      <c r="F148" s="15" t="s">
        <v>1267</v>
      </c>
      <c r="G148" s="15" t="s">
        <v>131</v>
      </c>
      <c r="H148" s="15" t="s">
        <v>704</v>
      </c>
      <c r="I148" s="15" t="s">
        <v>1276</v>
      </c>
    </row>
    <row r="149" customFormat="false" ht="57.45" hidden="false" customHeight="false" outlineLevel="0" collapsed="false">
      <c r="A149" s="15" t="s">
        <v>746</v>
      </c>
      <c r="B149" s="15" t="s">
        <v>1096</v>
      </c>
      <c r="C149" s="15" t="s">
        <v>1217</v>
      </c>
      <c r="D149" s="15" t="s">
        <v>502</v>
      </c>
      <c r="E149" s="15" t="s">
        <v>1108</v>
      </c>
      <c r="F149" s="15" t="s">
        <v>1267</v>
      </c>
      <c r="G149" s="15" t="s">
        <v>131</v>
      </c>
      <c r="H149" s="15" t="s">
        <v>704</v>
      </c>
      <c r="I149" s="15" t="s">
        <v>1277</v>
      </c>
    </row>
    <row r="150" customFormat="false" ht="57.45" hidden="false" customHeight="false" outlineLevel="0" collapsed="false">
      <c r="A150" s="15" t="s">
        <v>749</v>
      </c>
      <c r="B150" s="15" t="s">
        <v>1096</v>
      </c>
      <c r="C150" s="15" t="s">
        <v>1265</v>
      </c>
      <c r="D150" s="15" t="s">
        <v>701</v>
      </c>
      <c r="E150" s="15" t="s">
        <v>1125</v>
      </c>
      <c r="F150" s="15" t="s">
        <v>1267</v>
      </c>
      <c r="G150" s="15" t="s">
        <v>131</v>
      </c>
      <c r="H150" s="15" t="s">
        <v>704</v>
      </c>
      <c r="I150" s="15" t="s">
        <v>1278</v>
      </c>
    </row>
    <row r="151" customFormat="false" ht="57.45" hidden="false" customHeight="false" outlineLevel="0" collapsed="false">
      <c r="A151" s="15" t="s">
        <v>755</v>
      </c>
      <c r="B151" s="15" t="s">
        <v>1096</v>
      </c>
      <c r="C151" s="15" t="s">
        <v>1238</v>
      </c>
      <c r="D151" s="15" t="s">
        <v>584</v>
      </c>
      <c r="E151" s="15" t="s">
        <v>1108</v>
      </c>
      <c r="F151" s="15" t="s">
        <v>1267</v>
      </c>
      <c r="G151" s="15" t="s">
        <v>131</v>
      </c>
      <c r="H151" s="15" t="s">
        <v>704</v>
      </c>
      <c r="I151" s="15" t="s">
        <v>1279</v>
      </c>
    </row>
    <row r="152" customFormat="false" ht="57.45" hidden="false" customHeight="false" outlineLevel="0" collapsed="false">
      <c r="A152" s="15" t="s">
        <v>761</v>
      </c>
      <c r="B152" s="15" t="s">
        <v>1096</v>
      </c>
      <c r="C152" s="15" t="s">
        <v>1132</v>
      </c>
      <c r="D152" s="15" t="s">
        <v>186</v>
      </c>
      <c r="E152" s="15" t="s">
        <v>1108</v>
      </c>
      <c r="F152" s="15" t="s">
        <v>1267</v>
      </c>
      <c r="G152" s="15" t="s">
        <v>131</v>
      </c>
      <c r="H152" s="15" t="s">
        <v>704</v>
      </c>
      <c r="I152" s="15" t="s">
        <v>1280</v>
      </c>
    </row>
    <row r="153" customFormat="false" ht="57.45" hidden="false" customHeight="false" outlineLevel="0" collapsed="false">
      <c r="A153" s="15" t="s">
        <v>766</v>
      </c>
      <c r="B153" s="15" t="s">
        <v>1096</v>
      </c>
      <c r="C153" s="15" t="s">
        <v>1265</v>
      </c>
      <c r="D153" s="15" t="s">
        <v>701</v>
      </c>
      <c r="E153" s="15" t="s">
        <v>1144</v>
      </c>
      <c r="F153" s="15" t="s">
        <v>1267</v>
      </c>
      <c r="G153" s="15" t="s">
        <v>131</v>
      </c>
      <c r="H153" s="15" t="s">
        <v>704</v>
      </c>
      <c r="I153" s="15" t="s">
        <v>1281</v>
      </c>
    </row>
    <row r="154" customFormat="false" ht="57.45" hidden="false" customHeight="false" outlineLevel="0" collapsed="false">
      <c r="A154" s="15" t="s">
        <v>768</v>
      </c>
      <c r="B154" s="15" t="s">
        <v>1096</v>
      </c>
      <c r="C154" s="15" t="s">
        <v>1129</v>
      </c>
      <c r="D154" s="15" t="s">
        <v>176</v>
      </c>
      <c r="E154" s="15" t="s">
        <v>1159</v>
      </c>
      <c r="F154" s="15" t="s">
        <v>1267</v>
      </c>
      <c r="G154" s="15" t="s">
        <v>156</v>
      </c>
      <c r="H154" s="15" t="s">
        <v>704</v>
      </c>
      <c r="I154" s="15" t="s">
        <v>1282</v>
      </c>
    </row>
    <row r="155" customFormat="false" ht="57.45" hidden="false" customHeight="false" outlineLevel="0" collapsed="false">
      <c r="A155" s="15" t="s">
        <v>773</v>
      </c>
      <c r="B155" s="15" t="s">
        <v>1096</v>
      </c>
      <c r="C155" s="15" t="s">
        <v>1123</v>
      </c>
      <c r="D155" s="15" t="s">
        <v>158</v>
      </c>
      <c r="E155" s="15" t="s">
        <v>1104</v>
      </c>
      <c r="F155" s="15" t="s">
        <v>1267</v>
      </c>
      <c r="G155" s="15" t="s">
        <v>156</v>
      </c>
      <c r="H155" s="15" t="s">
        <v>704</v>
      </c>
      <c r="I155" s="15" t="s">
        <v>1283</v>
      </c>
    </row>
    <row r="156" customFormat="false" ht="57.45" hidden="false" customHeight="false" outlineLevel="0" collapsed="false">
      <c r="A156" s="15" t="s">
        <v>776</v>
      </c>
      <c r="B156" s="15" t="s">
        <v>1096</v>
      </c>
      <c r="C156" s="15" t="s">
        <v>1123</v>
      </c>
      <c r="D156" s="15" t="s">
        <v>158</v>
      </c>
      <c r="E156" s="15" t="s">
        <v>1104</v>
      </c>
      <c r="F156" s="15" t="s">
        <v>1267</v>
      </c>
      <c r="G156" s="15" t="s">
        <v>156</v>
      </c>
      <c r="H156" s="15" t="s">
        <v>704</v>
      </c>
      <c r="I156" s="15" t="s">
        <v>1284</v>
      </c>
    </row>
    <row r="157" customFormat="false" ht="57.45" hidden="false" customHeight="false" outlineLevel="0" collapsed="false">
      <c r="A157" s="15" t="s">
        <v>781</v>
      </c>
      <c r="B157" s="15" t="s">
        <v>1096</v>
      </c>
      <c r="C157" s="15" t="s">
        <v>1119</v>
      </c>
      <c r="D157" s="15" t="s">
        <v>148</v>
      </c>
      <c r="E157" s="15" t="s">
        <v>1120</v>
      </c>
      <c r="F157" s="15" t="s">
        <v>1267</v>
      </c>
      <c r="G157" s="15" t="s">
        <v>156</v>
      </c>
      <c r="H157" s="15" t="s">
        <v>704</v>
      </c>
      <c r="I157" s="15" t="s">
        <v>1285</v>
      </c>
    </row>
    <row r="158" customFormat="false" ht="57.45" hidden="false" customHeight="false" outlineLevel="0" collapsed="false">
      <c r="A158" s="15" t="s">
        <v>786</v>
      </c>
      <c r="B158" s="15" t="s">
        <v>1096</v>
      </c>
      <c r="C158" s="15" t="s">
        <v>1097</v>
      </c>
      <c r="D158" s="15" t="s">
        <v>93</v>
      </c>
      <c r="E158" s="15" t="s">
        <v>1144</v>
      </c>
      <c r="F158" s="15" t="s">
        <v>1267</v>
      </c>
      <c r="G158" s="15" t="s">
        <v>156</v>
      </c>
      <c r="H158" s="15" t="s">
        <v>704</v>
      </c>
      <c r="I158" s="15" t="s">
        <v>1286</v>
      </c>
    </row>
    <row r="159" customFormat="false" ht="57.45" hidden="false" customHeight="false" outlineLevel="0" collapsed="false">
      <c r="A159" s="15" t="s">
        <v>789</v>
      </c>
      <c r="B159" s="15" t="s">
        <v>1096</v>
      </c>
      <c r="C159" s="15" t="s">
        <v>1123</v>
      </c>
      <c r="D159" s="15" t="s">
        <v>158</v>
      </c>
      <c r="E159" s="15" t="s">
        <v>1234</v>
      </c>
      <c r="F159" s="15" t="s">
        <v>1267</v>
      </c>
      <c r="G159" s="15" t="s">
        <v>156</v>
      </c>
      <c r="H159" s="15" t="s">
        <v>704</v>
      </c>
      <c r="I159" s="15" t="s">
        <v>1287</v>
      </c>
    </row>
    <row r="160" customFormat="false" ht="57.45" hidden="false" customHeight="false" outlineLevel="0" collapsed="false">
      <c r="A160" s="15" t="s">
        <v>794</v>
      </c>
      <c r="B160" s="15" t="s">
        <v>1096</v>
      </c>
      <c r="C160" s="15" t="s">
        <v>1132</v>
      </c>
      <c r="D160" s="15" t="s">
        <v>186</v>
      </c>
      <c r="E160" s="15" t="s">
        <v>1114</v>
      </c>
      <c r="F160" s="15" t="s">
        <v>1267</v>
      </c>
      <c r="G160" s="15" t="s">
        <v>184</v>
      </c>
      <c r="H160" s="15" t="s">
        <v>704</v>
      </c>
      <c r="I160" s="15" t="s">
        <v>1288</v>
      </c>
    </row>
    <row r="161" customFormat="false" ht="57.45" hidden="false" customHeight="false" outlineLevel="0" collapsed="false">
      <c r="A161" s="15" t="s">
        <v>799</v>
      </c>
      <c r="B161" s="15" t="s">
        <v>1096</v>
      </c>
      <c r="C161" s="15" t="s">
        <v>1132</v>
      </c>
      <c r="D161" s="15" t="s">
        <v>186</v>
      </c>
      <c r="E161" s="15" t="s">
        <v>1108</v>
      </c>
      <c r="F161" s="15" t="s">
        <v>1267</v>
      </c>
      <c r="G161" s="15" t="s">
        <v>184</v>
      </c>
      <c r="H161" s="15" t="s">
        <v>704</v>
      </c>
      <c r="I161" s="15" t="s">
        <v>1289</v>
      </c>
    </row>
    <row r="162" customFormat="false" ht="57.45" hidden="false" customHeight="false" outlineLevel="0" collapsed="false">
      <c r="A162" s="15" t="s">
        <v>803</v>
      </c>
      <c r="B162" s="15" t="s">
        <v>1096</v>
      </c>
      <c r="C162" s="15" t="s">
        <v>1132</v>
      </c>
      <c r="D162" s="15" t="s">
        <v>186</v>
      </c>
      <c r="E162" s="15" t="s">
        <v>1120</v>
      </c>
      <c r="F162" s="15" t="s">
        <v>1267</v>
      </c>
      <c r="G162" s="15" t="s">
        <v>184</v>
      </c>
      <c r="H162" s="15" t="s">
        <v>704</v>
      </c>
      <c r="I162" s="15" t="s">
        <v>1290</v>
      </c>
    </row>
    <row r="163" customFormat="false" ht="57.45" hidden="false" customHeight="false" outlineLevel="0" collapsed="false">
      <c r="A163" s="15" t="s">
        <v>808</v>
      </c>
      <c r="B163" s="15" t="s">
        <v>1096</v>
      </c>
      <c r="C163" s="15" t="s">
        <v>1132</v>
      </c>
      <c r="D163" s="15" t="s">
        <v>186</v>
      </c>
      <c r="E163" s="15" t="s">
        <v>1104</v>
      </c>
      <c r="F163" s="15" t="s">
        <v>1267</v>
      </c>
      <c r="G163" s="15" t="s">
        <v>184</v>
      </c>
      <c r="H163" s="15" t="s">
        <v>704</v>
      </c>
      <c r="I163" s="15" t="s">
        <v>1291</v>
      </c>
    </row>
    <row r="164" customFormat="false" ht="57.45" hidden="false" customHeight="false" outlineLevel="0" collapsed="false">
      <c r="A164" s="15" t="s">
        <v>811</v>
      </c>
      <c r="B164" s="15" t="s">
        <v>1096</v>
      </c>
      <c r="C164" s="15" t="s">
        <v>1132</v>
      </c>
      <c r="D164" s="15" t="s">
        <v>186</v>
      </c>
      <c r="E164" s="15" t="s">
        <v>1144</v>
      </c>
      <c r="F164" s="15" t="s">
        <v>1267</v>
      </c>
      <c r="G164" s="15" t="s">
        <v>184</v>
      </c>
      <c r="H164" s="15" t="s">
        <v>704</v>
      </c>
      <c r="I164" s="15" t="s">
        <v>1292</v>
      </c>
    </row>
    <row r="165" customFormat="false" ht="57.45" hidden="false" customHeight="false" outlineLevel="0" collapsed="false">
      <c r="A165" s="15" t="s">
        <v>816</v>
      </c>
      <c r="B165" s="15" t="s">
        <v>1096</v>
      </c>
      <c r="C165" s="15" t="s">
        <v>1132</v>
      </c>
      <c r="D165" s="15" t="s">
        <v>186</v>
      </c>
      <c r="E165" s="15" t="s">
        <v>1108</v>
      </c>
      <c r="F165" s="15" t="s">
        <v>1267</v>
      </c>
      <c r="G165" s="15" t="s">
        <v>184</v>
      </c>
      <c r="H165" s="15" t="s">
        <v>704</v>
      </c>
      <c r="I165" s="15" t="s">
        <v>1293</v>
      </c>
    </row>
    <row r="166" customFormat="false" ht="57.45" hidden="false" customHeight="false" outlineLevel="0" collapsed="false">
      <c r="A166" s="15" t="s">
        <v>819</v>
      </c>
      <c r="B166" s="15" t="s">
        <v>1096</v>
      </c>
      <c r="C166" s="15" t="s">
        <v>1119</v>
      </c>
      <c r="D166" s="15" t="s">
        <v>148</v>
      </c>
      <c r="E166" s="15" t="s">
        <v>1144</v>
      </c>
      <c r="F166" s="15" t="s">
        <v>1267</v>
      </c>
      <c r="G166" s="15" t="s">
        <v>184</v>
      </c>
      <c r="H166" s="15" t="s">
        <v>704</v>
      </c>
      <c r="I166" s="15" t="s">
        <v>1294</v>
      </c>
    </row>
    <row r="167" customFormat="false" ht="57.45" hidden="false" customHeight="false" outlineLevel="0" collapsed="false">
      <c r="A167" s="15" t="s">
        <v>822</v>
      </c>
      <c r="B167" s="15" t="s">
        <v>1096</v>
      </c>
      <c r="C167" s="15" t="s">
        <v>1103</v>
      </c>
      <c r="D167" s="15" t="s">
        <v>80</v>
      </c>
      <c r="E167" s="15" t="s">
        <v>1114</v>
      </c>
      <c r="F167" s="15" t="s">
        <v>1295</v>
      </c>
      <c r="G167" s="15" t="s">
        <v>78</v>
      </c>
      <c r="H167" s="15" t="s">
        <v>825</v>
      </c>
      <c r="I167" s="15" t="s">
        <v>1296</v>
      </c>
    </row>
    <row r="168" customFormat="false" ht="68.65" hidden="false" customHeight="false" outlineLevel="0" collapsed="false">
      <c r="A168" s="15" t="s">
        <v>827</v>
      </c>
      <c r="B168" s="15" t="s">
        <v>1096</v>
      </c>
      <c r="C168" s="15" t="s">
        <v>1119</v>
      </c>
      <c r="D168" s="15" t="s">
        <v>148</v>
      </c>
      <c r="E168" s="15" t="s">
        <v>1101</v>
      </c>
      <c r="F168" s="15" t="s">
        <v>1295</v>
      </c>
      <c r="G168" s="15" t="s">
        <v>78</v>
      </c>
      <c r="H168" s="15" t="s">
        <v>825</v>
      </c>
      <c r="I168" s="15" t="s">
        <v>1297</v>
      </c>
    </row>
    <row r="169" customFormat="false" ht="57.45" hidden="false" customHeight="false" outlineLevel="0" collapsed="false">
      <c r="A169" s="15" t="s">
        <v>832</v>
      </c>
      <c r="B169" s="15" t="s">
        <v>1096</v>
      </c>
      <c r="C169" s="15" t="s">
        <v>1238</v>
      </c>
      <c r="D169" s="15" t="s">
        <v>584</v>
      </c>
      <c r="E169" s="15" t="s">
        <v>1104</v>
      </c>
      <c r="F169" s="15" t="s">
        <v>1295</v>
      </c>
      <c r="G169" s="15" t="s">
        <v>78</v>
      </c>
      <c r="H169" s="15" t="s">
        <v>825</v>
      </c>
      <c r="I169" s="15" t="s">
        <v>1298</v>
      </c>
    </row>
    <row r="170" customFormat="false" ht="57.45" hidden="false" customHeight="false" outlineLevel="0" collapsed="false">
      <c r="A170" s="15" t="s">
        <v>835</v>
      </c>
      <c r="B170" s="15" t="s">
        <v>1096</v>
      </c>
      <c r="C170" s="15" t="s">
        <v>1103</v>
      </c>
      <c r="D170" s="15" t="s">
        <v>80</v>
      </c>
      <c r="E170" s="15" t="s">
        <v>1108</v>
      </c>
      <c r="F170" s="15" t="s">
        <v>1295</v>
      </c>
      <c r="G170" s="15" t="s">
        <v>78</v>
      </c>
      <c r="H170" s="15" t="s">
        <v>825</v>
      </c>
      <c r="I170" s="15" t="s">
        <v>1299</v>
      </c>
    </row>
    <row r="171" customFormat="false" ht="57.45" hidden="false" customHeight="false" outlineLevel="0" collapsed="false">
      <c r="A171" s="15" t="s">
        <v>840</v>
      </c>
      <c r="B171" s="15" t="s">
        <v>1096</v>
      </c>
      <c r="C171" s="15" t="s">
        <v>1097</v>
      </c>
      <c r="D171" s="15" t="s">
        <v>93</v>
      </c>
      <c r="E171" s="15" t="s">
        <v>1108</v>
      </c>
      <c r="F171" s="15" t="s">
        <v>1295</v>
      </c>
      <c r="G171" s="15" t="s">
        <v>78</v>
      </c>
      <c r="H171" s="15" t="s">
        <v>825</v>
      </c>
      <c r="I171" s="15" t="s">
        <v>1300</v>
      </c>
    </row>
    <row r="172" customFormat="false" ht="57.45" hidden="false" customHeight="false" outlineLevel="0" collapsed="false">
      <c r="A172" s="15" t="s">
        <v>843</v>
      </c>
      <c r="B172" s="15" t="s">
        <v>1096</v>
      </c>
      <c r="C172" s="15" t="s">
        <v>1119</v>
      </c>
      <c r="D172" s="15" t="s">
        <v>148</v>
      </c>
      <c r="E172" s="15" t="s">
        <v>1125</v>
      </c>
      <c r="F172" s="15" t="s">
        <v>1295</v>
      </c>
      <c r="G172" s="15" t="s">
        <v>109</v>
      </c>
      <c r="H172" s="15" t="s">
        <v>825</v>
      </c>
      <c r="I172" s="15" t="s">
        <v>1301</v>
      </c>
    </row>
    <row r="173" customFormat="false" ht="57.45" hidden="false" customHeight="false" outlineLevel="0" collapsed="false">
      <c r="A173" s="15" t="s">
        <v>847</v>
      </c>
      <c r="B173" s="15" t="s">
        <v>1096</v>
      </c>
      <c r="C173" s="15" t="s">
        <v>1112</v>
      </c>
      <c r="D173" s="15" t="s">
        <v>123</v>
      </c>
      <c r="E173" s="15" t="s">
        <v>1125</v>
      </c>
      <c r="F173" s="15" t="s">
        <v>1295</v>
      </c>
      <c r="G173" s="15" t="s">
        <v>109</v>
      </c>
      <c r="H173" s="15" t="s">
        <v>825</v>
      </c>
      <c r="I173" s="15" t="s">
        <v>1302</v>
      </c>
    </row>
    <row r="174" customFormat="false" ht="57.45" hidden="false" customHeight="false" outlineLevel="0" collapsed="false">
      <c r="A174" s="15" t="s">
        <v>850</v>
      </c>
      <c r="B174" s="15" t="s">
        <v>1096</v>
      </c>
      <c r="C174" s="15" t="s">
        <v>1097</v>
      </c>
      <c r="D174" s="15" t="s">
        <v>93</v>
      </c>
      <c r="E174" s="15" t="s">
        <v>1101</v>
      </c>
      <c r="F174" s="15" t="s">
        <v>1295</v>
      </c>
      <c r="G174" s="15" t="s">
        <v>109</v>
      </c>
      <c r="H174" s="15" t="s">
        <v>825</v>
      </c>
      <c r="I174" s="15" t="s">
        <v>1303</v>
      </c>
    </row>
    <row r="175" customFormat="false" ht="57.45" hidden="false" customHeight="false" outlineLevel="0" collapsed="false">
      <c r="A175" s="15" t="s">
        <v>853</v>
      </c>
      <c r="B175" s="15" t="s">
        <v>1096</v>
      </c>
      <c r="C175" s="15" t="s">
        <v>1097</v>
      </c>
      <c r="D175" s="15" t="s">
        <v>93</v>
      </c>
      <c r="E175" s="15" t="s">
        <v>1120</v>
      </c>
      <c r="F175" s="15" t="s">
        <v>1295</v>
      </c>
      <c r="G175" s="15" t="s">
        <v>109</v>
      </c>
      <c r="H175" s="15" t="s">
        <v>825</v>
      </c>
      <c r="I175" s="15" t="s">
        <v>1304</v>
      </c>
    </row>
    <row r="176" customFormat="false" ht="57.45" hidden="false" customHeight="false" outlineLevel="0" collapsed="false">
      <c r="A176" s="15" t="s">
        <v>856</v>
      </c>
      <c r="B176" s="15" t="s">
        <v>1096</v>
      </c>
      <c r="C176" s="15" t="s">
        <v>1119</v>
      </c>
      <c r="D176" s="15" t="s">
        <v>148</v>
      </c>
      <c r="E176" s="15" t="s">
        <v>1108</v>
      </c>
      <c r="F176" s="15" t="s">
        <v>1295</v>
      </c>
      <c r="G176" s="15" t="s">
        <v>131</v>
      </c>
      <c r="H176" s="15" t="s">
        <v>825</v>
      </c>
      <c r="I176" s="15" t="s">
        <v>1305</v>
      </c>
    </row>
    <row r="177" customFormat="false" ht="57.45" hidden="false" customHeight="false" outlineLevel="0" collapsed="false">
      <c r="A177" s="15" t="s">
        <v>860</v>
      </c>
      <c r="B177" s="15" t="s">
        <v>1096</v>
      </c>
      <c r="C177" s="15" t="s">
        <v>1119</v>
      </c>
      <c r="D177" s="15" t="s">
        <v>148</v>
      </c>
      <c r="E177" s="15" t="s">
        <v>1306</v>
      </c>
      <c r="F177" s="15" t="s">
        <v>1295</v>
      </c>
      <c r="G177" s="15" t="s">
        <v>131</v>
      </c>
      <c r="H177" s="15" t="s">
        <v>825</v>
      </c>
      <c r="I177" s="15" t="s">
        <v>1307</v>
      </c>
    </row>
    <row r="178" customFormat="false" ht="57.45" hidden="false" customHeight="false" outlineLevel="0" collapsed="false">
      <c r="A178" s="15" t="s">
        <v>865</v>
      </c>
      <c r="B178" s="15" t="s">
        <v>1096</v>
      </c>
      <c r="C178" s="15" t="s">
        <v>1119</v>
      </c>
      <c r="D178" s="15" t="s">
        <v>148</v>
      </c>
      <c r="E178" s="15" t="s">
        <v>1120</v>
      </c>
      <c r="F178" s="15" t="s">
        <v>1295</v>
      </c>
      <c r="G178" s="15" t="s">
        <v>131</v>
      </c>
      <c r="H178" s="15" t="s">
        <v>825</v>
      </c>
      <c r="I178" s="15" t="s">
        <v>1308</v>
      </c>
    </row>
    <row r="179" customFormat="false" ht="57.45" hidden="false" customHeight="false" outlineLevel="0" collapsed="false">
      <c r="A179" s="15" t="s">
        <v>868</v>
      </c>
      <c r="B179" s="15" t="s">
        <v>1096</v>
      </c>
      <c r="C179" s="15" t="s">
        <v>1119</v>
      </c>
      <c r="D179" s="15" t="s">
        <v>148</v>
      </c>
      <c r="E179" s="15" t="s">
        <v>1108</v>
      </c>
      <c r="F179" s="15" t="s">
        <v>1295</v>
      </c>
      <c r="G179" s="15" t="s">
        <v>131</v>
      </c>
      <c r="H179" s="15" t="s">
        <v>825</v>
      </c>
      <c r="I179" s="15" t="s">
        <v>1309</v>
      </c>
    </row>
    <row r="180" customFormat="false" ht="57.45" hidden="false" customHeight="false" outlineLevel="0" collapsed="false">
      <c r="A180" s="15" t="s">
        <v>871</v>
      </c>
      <c r="B180" s="15" t="s">
        <v>1096</v>
      </c>
      <c r="C180" s="15" t="s">
        <v>1119</v>
      </c>
      <c r="D180" s="15" t="s">
        <v>148</v>
      </c>
      <c r="E180" s="15" t="s">
        <v>1120</v>
      </c>
      <c r="F180" s="15" t="s">
        <v>1295</v>
      </c>
      <c r="G180" s="15" t="s">
        <v>131</v>
      </c>
      <c r="H180" s="15" t="s">
        <v>825</v>
      </c>
      <c r="I180" s="15" t="s">
        <v>1310</v>
      </c>
    </row>
    <row r="181" customFormat="false" ht="57.45" hidden="false" customHeight="false" outlineLevel="0" collapsed="false">
      <c r="A181" s="15" t="s">
        <v>874</v>
      </c>
      <c r="B181" s="15" t="s">
        <v>1096</v>
      </c>
      <c r="C181" s="15" t="s">
        <v>1119</v>
      </c>
      <c r="D181" s="15" t="s">
        <v>148</v>
      </c>
      <c r="E181" s="15" t="s">
        <v>1104</v>
      </c>
      <c r="F181" s="15" t="s">
        <v>1295</v>
      </c>
      <c r="G181" s="15" t="s">
        <v>156</v>
      </c>
      <c r="H181" s="15" t="s">
        <v>825</v>
      </c>
      <c r="I181" s="15" t="s">
        <v>1311</v>
      </c>
    </row>
    <row r="182" customFormat="false" ht="57.45" hidden="false" customHeight="false" outlineLevel="0" collapsed="false">
      <c r="A182" s="15" t="s">
        <v>878</v>
      </c>
      <c r="B182" s="15" t="s">
        <v>1096</v>
      </c>
      <c r="C182" s="15" t="s">
        <v>1097</v>
      </c>
      <c r="D182" s="15" t="s">
        <v>93</v>
      </c>
      <c r="E182" s="15" t="s">
        <v>1108</v>
      </c>
      <c r="F182" s="15" t="s">
        <v>1295</v>
      </c>
      <c r="G182" s="15" t="s">
        <v>156</v>
      </c>
      <c r="H182" s="15" t="s">
        <v>825</v>
      </c>
      <c r="I182" s="15" t="s">
        <v>1312</v>
      </c>
    </row>
    <row r="183" customFormat="false" ht="57.45" hidden="false" customHeight="false" outlineLevel="0" collapsed="false">
      <c r="A183" s="15" t="s">
        <v>883</v>
      </c>
      <c r="B183" s="15" t="s">
        <v>1096</v>
      </c>
      <c r="C183" s="15" t="s">
        <v>1097</v>
      </c>
      <c r="D183" s="15" t="s">
        <v>93</v>
      </c>
      <c r="E183" s="15" t="s">
        <v>1108</v>
      </c>
      <c r="F183" s="15" t="s">
        <v>1295</v>
      </c>
      <c r="G183" s="15" t="s">
        <v>156</v>
      </c>
      <c r="H183" s="15" t="s">
        <v>825</v>
      </c>
      <c r="I183" s="15" t="s">
        <v>1313</v>
      </c>
    </row>
    <row r="184" customFormat="false" ht="57.45" hidden="false" customHeight="false" outlineLevel="0" collapsed="false">
      <c r="A184" s="15" t="s">
        <v>886</v>
      </c>
      <c r="B184" s="15" t="s">
        <v>1096</v>
      </c>
      <c r="C184" s="15" t="s">
        <v>1123</v>
      </c>
      <c r="D184" s="15" t="s">
        <v>158</v>
      </c>
      <c r="E184" s="15" t="s">
        <v>1101</v>
      </c>
      <c r="F184" s="15" t="s">
        <v>1295</v>
      </c>
      <c r="G184" s="15" t="s">
        <v>156</v>
      </c>
      <c r="H184" s="15" t="s">
        <v>825</v>
      </c>
      <c r="I184" s="15" t="s">
        <v>1314</v>
      </c>
    </row>
    <row r="185" customFormat="false" ht="57.45" hidden="false" customHeight="false" outlineLevel="0" collapsed="false">
      <c r="A185" s="15" t="s">
        <v>888</v>
      </c>
      <c r="B185" s="15" t="s">
        <v>1096</v>
      </c>
      <c r="C185" s="15" t="s">
        <v>1097</v>
      </c>
      <c r="D185" s="15" t="s">
        <v>93</v>
      </c>
      <c r="E185" s="15" t="s">
        <v>1114</v>
      </c>
      <c r="F185" s="15" t="s">
        <v>1295</v>
      </c>
      <c r="G185" s="15" t="s">
        <v>156</v>
      </c>
      <c r="H185" s="15" t="s">
        <v>825</v>
      </c>
      <c r="I185" s="15" t="s">
        <v>1315</v>
      </c>
    </row>
    <row r="186" customFormat="false" ht="57.45" hidden="false" customHeight="false" outlineLevel="0" collapsed="false">
      <c r="A186" s="15" t="s">
        <v>891</v>
      </c>
      <c r="B186" s="15" t="s">
        <v>1096</v>
      </c>
      <c r="C186" s="15" t="s">
        <v>1119</v>
      </c>
      <c r="D186" s="15" t="s">
        <v>148</v>
      </c>
      <c r="E186" s="15" t="s">
        <v>1125</v>
      </c>
      <c r="F186" s="15" t="s">
        <v>1295</v>
      </c>
      <c r="G186" s="15" t="s">
        <v>184</v>
      </c>
      <c r="H186" s="15" t="s">
        <v>825</v>
      </c>
      <c r="I186" s="15" t="s">
        <v>1316</v>
      </c>
    </row>
    <row r="187" customFormat="false" ht="57.45" hidden="false" customHeight="false" outlineLevel="0" collapsed="false">
      <c r="A187" s="15" t="s">
        <v>895</v>
      </c>
      <c r="B187" s="15" t="s">
        <v>1096</v>
      </c>
      <c r="C187" s="15" t="s">
        <v>1132</v>
      </c>
      <c r="D187" s="15" t="s">
        <v>186</v>
      </c>
      <c r="E187" s="15" t="s">
        <v>1317</v>
      </c>
      <c r="F187" s="15" t="s">
        <v>1295</v>
      </c>
      <c r="G187" s="15" t="s">
        <v>184</v>
      </c>
      <c r="H187" s="15" t="s">
        <v>825</v>
      </c>
      <c r="I187" s="15" t="s">
        <v>1318</v>
      </c>
    </row>
    <row r="188" customFormat="false" ht="57.45" hidden="false" customHeight="false" outlineLevel="0" collapsed="false">
      <c r="A188" s="15" t="s">
        <v>898</v>
      </c>
      <c r="B188" s="15" t="s">
        <v>1096</v>
      </c>
      <c r="C188" s="15" t="s">
        <v>1097</v>
      </c>
      <c r="D188" s="15" t="s">
        <v>93</v>
      </c>
      <c r="E188" s="15" t="s">
        <v>1101</v>
      </c>
      <c r="F188" s="15" t="s">
        <v>1295</v>
      </c>
      <c r="G188" s="15" t="s">
        <v>184</v>
      </c>
      <c r="H188" s="15" t="s">
        <v>825</v>
      </c>
      <c r="I188" s="15" t="s">
        <v>1319</v>
      </c>
    </row>
    <row r="189" customFormat="false" ht="57.45" hidden="false" customHeight="false" outlineLevel="0" collapsed="false">
      <c r="A189" s="15" t="s">
        <v>901</v>
      </c>
      <c r="B189" s="15" t="s">
        <v>1096</v>
      </c>
      <c r="C189" s="15" t="s">
        <v>1132</v>
      </c>
      <c r="D189" s="15" t="s">
        <v>186</v>
      </c>
      <c r="E189" s="15" t="s">
        <v>1144</v>
      </c>
      <c r="F189" s="15" t="s">
        <v>1295</v>
      </c>
      <c r="G189" s="15" t="s">
        <v>184</v>
      </c>
      <c r="H189" s="15" t="s">
        <v>825</v>
      </c>
      <c r="I189" s="15" t="s">
        <v>1320</v>
      </c>
    </row>
    <row r="190" customFormat="false" ht="57.45" hidden="false" customHeight="false" outlineLevel="0" collapsed="false">
      <c r="A190" s="15" t="s">
        <v>906</v>
      </c>
      <c r="B190" s="15" t="s">
        <v>1096</v>
      </c>
      <c r="C190" s="15" t="s">
        <v>1103</v>
      </c>
      <c r="D190" s="15" t="s">
        <v>80</v>
      </c>
      <c r="E190" s="15" t="s">
        <v>1101</v>
      </c>
      <c r="F190" s="15" t="s">
        <v>1321</v>
      </c>
      <c r="G190" s="15" t="s">
        <v>78</v>
      </c>
      <c r="H190" s="15" t="s">
        <v>908</v>
      </c>
      <c r="I190" s="15" t="s">
        <v>1322</v>
      </c>
    </row>
    <row r="191" customFormat="false" ht="57.45" hidden="false" customHeight="false" outlineLevel="0" collapsed="false">
      <c r="A191" s="15" t="s">
        <v>911</v>
      </c>
      <c r="B191" s="15" t="s">
        <v>1096</v>
      </c>
      <c r="C191" s="15" t="s">
        <v>1103</v>
      </c>
      <c r="D191" s="15" t="s">
        <v>80</v>
      </c>
      <c r="E191" s="15" t="s">
        <v>1104</v>
      </c>
      <c r="F191" s="15" t="s">
        <v>1321</v>
      </c>
      <c r="G191" s="15" t="s">
        <v>78</v>
      </c>
      <c r="H191" s="15" t="s">
        <v>908</v>
      </c>
      <c r="I191" s="15" t="s">
        <v>1323</v>
      </c>
    </row>
    <row r="192" customFormat="false" ht="57.45" hidden="false" customHeight="false" outlineLevel="0" collapsed="false">
      <c r="A192" s="15" t="s">
        <v>914</v>
      </c>
      <c r="B192" s="15" t="s">
        <v>1096</v>
      </c>
      <c r="C192" s="15" t="s">
        <v>1097</v>
      </c>
      <c r="D192" s="15" t="s">
        <v>93</v>
      </c>
      <c r="E192" s="15" t="s">
        <v>1108</v>
      </c>
      <c r="F192" s="15" t="s">
        <v>1321</v>
      </c>
      <c r="G192" s="15" t="s">
        <v>78</v>
      </c>
      <c r="H192" s="15" t="s">
        <v>908</v>
      </c>
      <c r="I192" s="15" t="s">
        <v>1324</v>
      </c>
    </row>
    <row r="193" customFormat="false" ht="57.45" hidden="false" customHeight="false" outlineLevel="0" collapsed="false">
      <c r="A193" s="15" t="s">
        <v>917</v>
      </c>
      <c r="B193" s="15" t="s">
        <v>1096</v>
      </c>
      <c r="C193" s="15" t="s">
        <v>1097</v>
      </c>
      <c r="D193" s="15" t="s">
        <v>93</v>
      </c>
      <c r="E193" s="15" t="s">
        <v>1108</v>
      </c>
      <c r="F193" s="15" t="s">
        <v>1321</v>
      </c>
      <c r="G193" s="15" t="s">
        <v>78</v>
      </c>
      <c r="H193" s="15" t="s">
        <v>908</v>
      </c>
      <c r="I193" s="15" t="s">
        <v>1325</v>
      </c>
    </row>
    <row r="194" customFormat="false" ht="57.45" hidden="false" customHeight="false" outlineLevel="0" collapsed="false">
      <c r="A194" s="15" t="s">
        <v>920</v>
      </c>
      <c r="B194" s="15" t="s">
        <v>1096</v>
      </c>
      <c r="C194" s="15" t="s">
        <v>1097</v>
      </c>
      <c r="D194" s="15" t="s">
        <v>93</v>
      </c>
      <c r="E194" s="15" t="s">
        <v>1120</v>
      </c>
      <c r="F194" s="15" t="s">
        <v>1321</v>
      </c>
      <c r="G194" s="15" t="s">
        <v>78</v>
      </c>
      <c r="H194" s="15" t="s">
        <v>908</v>
      </c>
      <c r="I194" s="15" t="s">
        <v>1326</v>
      </c>
    </row>
    <row r="195" customFormat="false" ht="57.45" hidden="false" customHeight="false" outlineLevel="0" collapsed="false">
      <c r="A195" s="15" t="s">
        <v>923</v>
      </c>
      <c r="B195" s="15" t="s">
        <v>1096</v>
      </c>
      <c r="C195" s="15" t="s">
        <v>1103</v>
      </c>
      <c r="D195" s="15" t="s">
        <v>80</v>
      </c>
      <c r="E195" s="15" t="s">
        <v>1120</v>
      </c>
      <c r="F195" s="15" t="s">
        <v>1321</v>
      </c>
      <c r="G195" s="15" t="s">
        <v>78</v>
      </c>
      <c r="H195" s="15" t="s">
        <v>908</v>
      </c>
      <c r="I195" s="15" t="s">
        <v>1327</v>
      </c>
    </row>
    <row r="196" customFormat="false" ht="57.45" hidden="false" customHeight="false" outlineLevel="0" collapsed="false">
      <c r="A196" s="15" t="s">
        <v>926</v>
      </c>
      <c r="B196" s="15" t="s">
        <v>1096</v>
      </c>
      <c r="C196" s="15" t="s">
        <v>1112</v>
      </c>
      <c r="D196" s="15" t="s">
        <v>123</v>
      </c>
      <c r="E196" s="15" t="s">
        <v>1101</v>
      </c>
      <c r="F196" s="15" t="s">
        <v>1321</v>
      </c>
      <c r="G196" s="15" t="s">
        <v>109</v>
      </c>
      <c r="H196" s="15" t="s">
        <v>908</v>
      </c>
      <c r="I196" s="15" t="s">
        <v>1328</v>
      </c>
    </row>
    <row r="197" customFormat="false" ht="57.45" hidden="false" customHeight="false" outlineLevel="0" collapsed="false">
      <c r="A197" s="15" t="s">
        <v>930</v>
      </c>
      <c r="B197" s="15" t="s">
        <v>1096</v>
      </c>
      <c r="C197" s="15" t="s">
        <v>1097</v>
      </c>
      <c r="D197" s="15" t="s">
        <v>93</v>
      </c>
      <c r="E197" s="15" t="s">
        <v>1104</v>
      </c>
      <c r="F197" s="15" t="s">
        <v>1321</v>
      </c>
      <c r="G197" s="15" t="s">
        <v>109</v>
      </c>
      <c r="H197" s="15" t="s">
        <v>908</v>
      </c>
      <c r="I197" s="15" t="s">
        <v>1329</v>
      </c>
    </row>
    <row r="198" customFormat="false" ht="57.45" hidden="false" customHeight="false" outlineLevel="0" collapsed="false">
      <c r="A198" s="15" t="s">
        <v>933</v>
      </c>
      <c r="B198" s="15" t="s">
        <v>1096</v>
      </c>
      <c r="C198" s="15" t="s">
        <v>1097</v>
      </c>
      <c r="D198" s="15" t="s">
        <v>93</v>
      </c>
      <c r="E198" s="15" t="s">
        <v>1104</v>
      </c>
      <c r="F198" s="15" t="s">
        <v>1321</v>
      </c>
      <c r="G198" s="15" t="s">
        <v>109</v>
      </c>
      <c r="H198" s="15" t="s">
        <v>908</v>
      </c>
      <c r="I198" s="15" t="s">
        <v>1330</v>
      </c>
    </row>
    <row r="199" customFormat="false" ht="57.45" hidden="false" customHeight="false" outlineLevel="0" collapsed="false">
      <c r="A199" s="15" t="s">
        <v>936</v>
      </c>
      <c r="B199" s="15" t="s">
        <v>1096</v>
      </c>
      <c r="C199" s="15" t="s">
        <v>1097</v>
      </c>
      <c r="D199" s="15" t="s">
        <v>93</v>
      </c>
      <c r="E199" s="15" t="s">
        <v>1104</v>
      </c>
      <c r="F199" s="15" t="s">
        <v>1321</v>
      </c>
      <c r="G199" s="15" t="s">
        <v>109</v>
      </c>
      <c r="H199" s="15" t="s">
        <v>908</v>
      </c>
      <c r="I199" s="15" t="s">
        <v>1331</v>
      </c>
    </row>
    <row r="200" customFormat="false" ht="57.45" hidden="false" customHeight="false" outlineLevel="0" collapsed="false">
      <c r="A200" s="15" t="s">
        <v>939</v>
      </c>
      <c r="B200" s="15" t="s">
        <v>1096</v>
      </c>
      <c r="C200" s="15" t="s">
        <v>1097</v>
      </c>
      <c r="D200" s="15" t="s">
        <v>93</v>
      </c>
      <c r="E200" s="15" t="s">
        <v>1108</v>
      </c>
      <c r="F200" s="15" t="s">
        <v>1321</v>
      </c>
      <c r="G200" s="15" t="s">
        <v>109</v>
      </c>
      <c r="H200" s="15" t="s">
        <v>908</v>
      </c>
      <c r="I200" s="15" t="s">
        <v>1332</v>
      </c>
    </row>
    <row r="201" customFormat="false" ht="57.45" hidden="false" customHeight="false" outlineLevel="0" collapsed="false">
      <c r="A201" s="15" t="s">
        <v>942</v>
      </c>
      <c r="B201" s="15" t="s">
        <v>1096</v>
      </c>
      <c r="C201" s="15" t="s">
        <v>1119</v>
      </c>
      <c r="D201" s="15" t="s">
        <v>148</v>
      </c>
      <c r="E201" s="15" t="s">
        <v>1104</v>
      </c>
      <c r="F201" s="15" t="s">
        <v>1321</v>
      </c>
      <c r="G201" s="15" t="s">
        <v>131</v>
      </c>
      <c r="H201" s="15" t="s">
        <v>908</v>
      </c>
      <c r="I201" s="15" t="s">
        <v>1333</v>
      </c>
    </row>
    <row r="202" customFormat="false" ht="57.45" hidden="false" customHeight="false" outlineLevel="0" collapsed="false">
      <c r="A202" s="15" t="s">
        <v>946</v>
      </c>
      <c r="B202" s="15" t="s">
        <v>1096</v>
      </c>
      <c r="C202" s="15" t="s">
        <v>1119</v>
      </c>
      <c r="D202" s="15" t="s">
        <v>148</v>
      </c>
      <c r="E202" s="15" t="s">
        <v>1104</v>
      </c>
      <c r="F202" s="15" t="s">
        <v>1321</v>
      </c>
      <c r="G202" s="15" t="s">
        <v>131</v>
      </c>
      <c r="H202" s="15" t="s">
        <v>908</v>
      </c>
      <c r="I202" s="15" t="s">
        <v>1334</v>
      </c>
    </row>
    <row r="203" customFormat="false" ht="57.45" hidden="false" customHeight="false" outlineLevel="0" collapsed="false">
      <c r="A203" s="15" t="s">
        <v>949</v>
      </c>
      <c r="B203" s="15" t="s">
        <v>1096</v>
      </c>
      <c r="C203" s="15" t="s">
        <v>1182</v>
      </c>
      <c r="D203" s="15" t="s">
        <v>372</v>
      </c>
      <c r="E203" s="15" t="s">
        <v>1114</v>
      </c>
      <c r="F203" s="15" t="s">
        <v>1321</v>
      </c>
      <c r="G203" s="15" t="s">
        <v>131</v>
      </c>
      <c r="H203" s="15" t="s">
        <v>908</v>
      </c>
      <c r="I203" s="15" t="s">
        <v>1335</v>
      </c>
    </row>
    <row r="204" customFormat="false" ht="57.45" hidden="false" customHeight="false" outlineLevel="0" collapsed="false">
      <c r="A204" s="15" t="s">
        <v>951</v>
      </c>
      <c r="B204" s="15" t="s">
        <v>1096</v>
      </c>
      <c r="C204" s="15" t="s">
        <v>1097</v>
      </c>
      <c r="D204" s="15" t="s">
        <v>93</v>
      </c>
      <c r="E204" s="15" t="s">
        <v>1104</v>
      </c>
      <c r="F204" s="15" t="s">
        <v>1321</v>
      </c>
      <c r="G204" s="15" t="s">
        <v>131</v>
      </c>
      <c r="H204" s="15" t="s">
        <v>908</v>
      </c>
      <c r="I204" s="15" t="s">
        <v>1336</v>
      </c>
    </row>
    <row r="205" customFormat="false" ht="57.45" hidden="false" customHeight="false" outlineLevel="0" collapsed="false">
      <c r="A205" s="15" t="s">
        <v>954</v>
      </c>
      <c r="B205" s="15" t="s">
        <v>1096</v>
      </c>
      <c r="C205" s="15" t="s">
        <v>1097</v>
      </c>
      <c r="D205" s="15" t="s">
        <v>93</v>
      </c>
      <c r="E205" s="15" t="s">
        <v>1104</v>
      </c>
      <c r="F205" s="15" t="s">
        <v>1321</v>
      </c>
      <c r="G205" s="15" t="s">
        <v>131</v>
      </c>
      <c r="H205" s="15" t="s">
        <v>908</v>
      </c>
      <c r="I205" s="15" t="s">
        <v>1337</v>
      </c>
    </row>
    <row r="206" customFormat="false" ht="57.45" hidden="false" customHeight="false" outlineLevel="0" collapsed="false">
      <c r="A206" s="15" t="s">
        <v>957</v>
      </c>
      <c r="B206" s="15" t="s">
        <v>1096</v>
      </c>
      <c r="C206" s="15" t="s">
        <v>1123</v>
      </c>
      <c r="D206" s="15" t="s">
        <v>158</v>
      </c>
      <c r="E206" s="15" t="s">
        <v>1114</v>
      </c>
      <c r="F206" s="15" t="s">
        <v>1321</v>
      </c>
      <c r="G206" s="15" t="s">
        <v>156</v>
      </c>
      <c r="H206" s="15" t="s">
        <v>908</v>
      </c>
      <c r="I206" s="15" t="s">
        <v>1338</v>
      </c>
    </row>
    <row r="207" customFormat="false" ht="57.45" hidden="false" customHeight="false" outlineLevel="0" collapsed="false">
      <c r="A207" s="15" t="s">
        <v>960</v>
      </c>
      <c r="B207" s="15" t="s">
        <v>1096</v>
      </c>
      <c r="C207" s="15" t="s">
        <v>1123</v>
      </c>
      <c r="D207" s="15" t="s">
        <v>158</v>
      </c>
      <c r="E207" s="15" t="s">
        <v>1104</v>
      </c>
      <c r="F207" s="15" t="s">
        <v>1321</v>
      </c>
      <c r="G207" s="15" t="s">
        <v>156</v>
      </c>
      <c r="H207" s="15" t="s">
        <v>908</v>
      </c>
      <c r="I207" s="15" t="s">
        <v>1339</v>
      </c>
    </row>
    <row r="208" customFormat="false" ht="57.45" hidden="false" customHeight="false" outlineLevel="0" collapsed="false">
      <c r="A208" s="15" t="s">
        <v>963</v>
      </c>
      <c r="B208" s="15" t="s">
        <v>1096</v>
      </c>
      <c r="C208" s="15" t="s">
        <v>1123</v>
      </c>
      <c r="D208" s="15" t="s">
        <v>158</v>
      </c>
      <c r="E208" s="15" t="s">
        <v>1104</v>
      </c>
      <c r="F208" s="15" t="s">
        <v>1321</v>
      </c>
      <c r="G208" s="15" t="s">
        <v>156</v>
      </c>
      <c r="H208" s="15" t="s">
        <v>908</v>
      </c>
      <c r="I208" s="15" t="s">
        <v>1340</v>
      </c>
    </row>
    <row r="209" customFormat="false" ht="57.45" hidden="false" customHeight="false" outlineLevel="0" collapsed="false">
      <c r="A209" s="15" t="s">
        <v>966</v>
      </c>
      <c r="B209" s="15" t="s">
        <v>1096</v>
      </c>
      <c r="C209" s="15" t="s">
        <v>1097</v>
      </c>
      <c r="D209" s="15" t="s">
        <v>93</v>
      </c>
      <c r="E209" s="15" t="s">
        <v>1104</v>
      </c>
      <c r="F209" s="15" t="s">
        <v>1321</v>
      </c>
      <c r="G209" s="15" t="s">
        <v>156</v>
      </c>
      <c r="H209" s="15" t="s">
        <v>908</v>
      </c>
      <c r="I209" s="15" t="s">
        <v>1341</v>
      </c>
    </row>
    <row r="210" customFormat="false" ht="57.45" hidden="false" customHeight="false" outlineLevel="0" collapsed="false">
      <c r="A210" s="15" t="s">
        <v>969</v>
      </c>
      <c r="B210" s="15" t="s">
        <v>1096</v>
      </c>
      <c r="C210" s="15" t="s">
        <v>1097</v>
      </c>
      <c r="D210" s="15" t="s">
        <v>93</v>
      </c>
      <c r="E210" s="15" t="s">
        <v>1104</v>
      </c>
      <c r="F210" s="15" t="s">
        <v>1321</v>
      </c>
      <c r="G210" s="15" t="s">
        <v>156</v>
      </c>
      <c r="H210" s="15" t="s">
        <v>908</v>
      </c>
      <c r="I210" s="15" t="s">
        <v>1342</v>
      </c>
    </row>
    <row r="211" customFormat="false" ht="57.45" hidden="false" customHeight="false" outlineLevel="0" collapsed="false">
      <c r="A211" s="15" t="s">
        <v>972</v>
      </c>
      <c r="B211" s="15" t="s">
        <v>1096</v>
      </c>
      <c r="C211" s="15" t="s">
        <v>1132</v>
      </c>
      <c r="D211" s="15" t="s">
        <v>186</v>
      </c>
      <c r="E211" s="15" t="s">
        <v>1101</v>
      </c>
      <c r="F211" s="15" t="s">
        <v>1321</v>
      </c>
      <c r="G211" s="15" t="s">
        <v>184</v>
      </c>
      <c r="H211" s="15" t="s">
        <v>908</v>
      </c>
      <c r="I211" s="15" t="s">
        <v>1343</v>
      </c>
    </row>
    <row r="212" customFormat="false" ht="57.45" hidden="false" customHeight="false" outlineLevel="0" collapsed="false">
      <c r="A212" s="15" t="s">
        <v>975</v>
      </c>
      <c r="B212" s="15" t="s">
        <v>1096</v>
      </c>
      <c r="C212" s="15" t="s">
        <v>1097</v>
      </c>
      <c r="D212" s="15" t="s">
        <v>93</v>
      </c>
      <c r="E212" s="15" t="s">
        <v>1104</v>
      </c>
      <c r="F212" s="15" t="s">
        <v>1321</v>
      </c>
      <c r="G212" s="15" t="s">
        <v>184</v>
      </c>
      <c r="H212" s="15" t="s">
        <v>908</v>
      </c>
      <c r="I212" s="15" t="s">
        <v>1344</v>
      </c>
    </row>
    <row r="213" customFormat="false" ht="57.45" hidden="false" customHeight="false" outlineLevel="0" collapsed="false">
      <c r="A213" s="15" t="s">
        <v>978</v>
      </c>
      <c r="B213" s="15" t="s">
        <v>1096</v>
      </c>
      <c r="C213" s="15" t="s">
        <v>1097</v>
      </c>
      <c r="D213" s="15" t="s">
        <v>93</v>
      </c>
      <c r="E213" s="15" t="s">
        <v>1114</v>
      </c>
      <c r="F213" s="15" t="s">
        <v>1321</v>
      </c>
      <c r="G213" s="15" t="s">
        <v>184</v>
      </c>
      <c r="H213" s="15" t="s">
        <v>908</v>
      </c>
      <c r="I213" s="15" t="s">
        <v>1345</v>
      </c>
    </row>
    <row r="214" customFormat="false" ht="57.45" hidden="false" customHeight="false" outlineLevel="0" collapsed="false">
      <c r="A214" s="15" t="s">
        <v>981</v>
      </c>
      <c r="B214" s="15" t="s">
        <v>1096</v>
      </c>
      <c r="C214" s="15" t="s">
        <v>1097</v>
      </c>
      <c r="D214" s="15" t="s">
        <v>93</v>
      </c>
      <c r="E214" s="15" t="s">
        <v>1108</v>
      </c>
      <c r="F214" s="15" t="s">
        <v>1321</v>
      </c>
      <c r="G214" s="15" t="s">
        <v>184</v>
      </c>
      <c r="H214" s="15" t="s">
        <v>908</v>
      </c>
      <c r="I214" s="15" t="s">
        <v>1346</v>
      </c>
    </row>
    <row r="215" customFormat="false" ht="57.45" hidden="false" customHeight="false" outlineLevel="0" collapsed="false">
      <c r="A215" s="15" t="s">
        <v>984</v>
      </c>
      <c r="B215" s="15" t="s">
        <v>1096</v>
      </c>
      <c r="C215" s="15" t="s">
        <v>1119</v>
      </c>
      <c r="D215" s="15" t="s">
        <v>148</v>
      </c>
      <c r="E215" s="15" t="s">
        <v>1108</v>
      </c>
      <c r="F215" s="15" t="s">
        <v>1321</v>
      </c>
      <c r="G215" s="15" t="s">
        <v>184</v>
      </c>
      <c r="H215" s="15" t="s">
        <v>908</v>
      </c>
      <c r="I215" s="15" t="s">
        <v>1347</v>
      </c>
    </row>
    <row r="217" customFormat="false" ht="15" hidden="false" customHeight="false" outlineLevel="0" collapsed="false">
      <c r="A217" s="16" t="s">
        <v>1348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4" min="3" style="0" width="20"/>
    <col collapsed="false" customWidth="true" hidden="false" outlineLevel="0" max="5" min="5" style="0" width="70"/>
  </cols>
  <sheetData>
    <row r="1" customFormat="false" ht="15" hidden="false" customHeight="false" outlineLevel="0" collapsed="false">
      <c r="A1" s="14" t="s">
        <v>74</v>
      </c>
      <c r="B1" s="14" t="s">
        <v>1349</v>
      </c>
      <c r="C1" s="14" t="s">
        <v>1350</v>
      </c>
      <c r="D1" s="14" t="s">
        <v>1351</v>
      </c>
      <c r="E1" s="14" t="s">
        <v>1352</v>
      </c>
    </row>
    <row r="2" customFormat="false" ht="15" hidden="false" customHeight="false" outlineLevel="0" collapsed="false">
      <c r="A2" s="15" t="n">
        <v>1</v>
      </c>
      <c r="B2" s="15" t="s">
        <v>83</v>
      </c>
      <c r="C2" s="15" t="s">
        <v>1353</v>
      </c>
      <c r="D2" s="15" t="s">
        <v>1354</v>
      </c>
      <c r="E2" s="15" t="s">
        <v>1355</v>
      </c>
    </row>
    <row r="3" customFormat="false" ht="15" hidden="false" customHeight="false" outlineLevel="0" collapsed="false">
      <c r="A3" s="15" t="n">
        <v>2</v>
      </c>
      <c r="B3" s="15" t="s">
        <v>212</v>
      </c>
      <c r="C3" s="15" t="s">
        <v>1356</v>
      </c>
      <c r="D3" s="15" t="s">
        <v>1357</v>
      </c>
      <c r="E3" s="15" t="s">
        <v>1358</v>
      </c>
    </row>
    <row r="4" customFormat="false" ht="15" hidden="false" customHeight="false" outlineLevel="0" collapsed="false">
      <c r="A4" s="15" t="n">
        <v>3</v>
      </c>
      <c r="B4" s="15" t="s">
        <v>335</v>
      </c>
      <c r="C4" s="15" t="s">
        <v>1359</v>
      </c>
      <c r="D4" s="15" t="s">
        <v>1360</v>
      </c>
      <c r="E4" s="15" t="s">
        <v>1361</v>
      </c>
    </row>
    <row r="5" customFormat="false" ht="15" hidden="false" customHeight="false" outlineLevel="0" collapsed="false">
      <c r="A5" s="15" t="n">
        <v>4</v>
      </c>
      <c r="B5" s="15" t="s">
        <v>459</v>
      </c>
      <c r="C5" s="15" t="s">
        <v>1362</v>
      </c>
      <c r="D5" s="15" t="s">
        <v>1363</v>
      </c>
      <c r="E5" s="15" t="s">
        <v>1364</v>
      </c>
    </row>
    <row r="6" customFormat="false" ht="15" hidden="false" customHeight="false" outlineLevel="0" collapsed="false">
      <c r="A6" s="15" t="n">
        <v>5</v>
      </c>
      <c r="B6" s="15" t="s">
        <v>586</v>
      </c>
      <c r="C6" s="15" t="s">
        <v>1365</v>
      </c>
      <c r="D6" s="15" t="s">
        <v>1366</v>
      </c>
      <c r="E6" s="15" t="s">
        <v>1367</v>
      </c>
    </row>
    <row r="7" customFormat="false" ht="15" hidden="false" customHeight="false" outlineLevel="0" collapsed="false">
      <c r="A7" s="15" t="n">
        <v>6</v>
      </c>
      <c r="B7" s="15" t="s">
        <v>704</v>
      </c>
      <c r="C7" s="15" t="s">
        <v>1368</v>
      </c>
      <c r="D7" s="15" t="s">
        <v>1369</v>
      </c>
      <c r="E7" s="15" t="s">
        <v>1370</v>
      </c>
    </row>
    <row r="8" customFormat="false" ht="15" hidden="false" customHeight="false" outlineLevel="0" collapsed="false">
      <c r="A8" s="15" t="n">
        <v>7</v>
      </c>
      <c r="B8" s="15" t="s">
        <v>825</v>
      </c>
      <c r="C8" s="15" t="s">
        <v>1371</v>
      </c>
      <c r="D8" s="15" t="s">
        <v>1372</v>
      </c>
      <c r="E8" s="15" t="s">
        <v>1373</v>
      </c>
    </row>
    <row r="9" customFormat="false" ht="15" hidden="false" customHeight="false" outlineLevel="0" collapsed="false">
      <c r="A9" s="15" t="n">
        <v>8</v>
      </c>
      <c r="B9" s="15" t="s">
        <v>908</v>
      </c>
      <c r="C9" s="15" t="s">
        <v>1374</v>
      </c>
      <c r="D9" s="15" t="s">
        <v>1375</v>
      </c>
      <c r="E9" s="15" t="s">
        <v>1376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2026-10-03T12:40:05Z</dcterms:created>
  <dc:creator>openpyxl</dc:creator>
  <dc:description/>
  <dc:language>en-US</dc:language>
  <cp:lastModifiedBy/>
  <dcterms:modified xsi:type="dcterms:W3CDTF">2026-10-03T12:40:05Z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